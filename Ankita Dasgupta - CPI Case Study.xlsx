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c49ca4a2416511/Documents/Coding Ninja/Module 1(EXCEL)/Case study/"/>
    </mc:Choice>
  </mc:AlternateContent>
  <xr:revisionPtr revIDLastSave="43" documentId="8_{3CC69D4C-8632-47FB-92EA-47332E5DB0BD}" xr6:coauthVersionLast="47" xr6:coauthVersionMax="47" xr10:uidLastSave="{3D34E6E0-2806-4A3B-8BB7-8EEE4669D33F}"/>
  <bookViews>
    <workbookView xWindow="-108" yWindow="-108" windowWidth="23256" windowHeight="12456" activeTab="5" xr2:uid="{AAABBD96-644D-484E-B1DF-0C4508F2CAD1}"/>
  </bookViews>
  <sheets>
    <sheet name="Cleaned Data" sheetId="1" r:id="rId1"/>
    <sheet name="Q1" sheetId="2" r:id="rId2"/>
    <sheet name="Q2" sheetId="3" r:id="rId3"/>
    <sheet name="Q3" sheetId="5" r:id="rId4"/>
    <sheet name="Q4" sheetId="6" r:id="rId5"/>
    <sheet name="Q5" sheetId="8" r:id="rId6"/>
  </sheets>
  <definedNames>
    <definedName name="_xlnm._FilterDatabase" localSheetId="0" hidden="1">'Cleaned Data'!$A$1:$AJ$373</definedName>
    <definedName name="_xlnm._FilterDatabase" localSheetId="3" hidden="1">'Q3'!$A$1:$P$14</definedName>
    <definedName name="_xlnm._FilterDatabase" localSheetId="4" hidden="1">'Q4'!$A$1:$J$373</definedName>
    <definedName name="Crude">'Q5'!$AK$2:$AK$30</definedName>
  </definedNames>
  <calcPr calcId="191029"/>
  <pivotCaches>
    <pivotCache cacheId="14" r:id="rId7"/>
    <pivotCache cacheId="15" r:id="rId8"/>
    <pivotCache cacheId="16" r:id="rId9"/>
  </pivotCaches>
</workbook>
</file>

<file path=xl/calcChain.xml><?xml version="1.0" encoding="utf-8"?>
<calcChain xmlns="http://schemas.openxmlformats.org/spreadsheetml/2006/main">
  <c r="Q9" i="6" l="1"/>
  <c r="Q11" i="6"/>
  <c r="D38" i="5"/>
  <c r="Q2" i="5"/>
  <c r="F4" i="3"/>
  <c r="F5" i="3"/>
  <c r="F6" i="3"/>
  <c r="F7" i="3"/>
  <c r="F8" i="3"/>
  <c r="F9" i="3"/>
  <c r="L22" i="2"/>
  <c r="K22" i="2"/>
  <c r="N22" i="2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L2" i="6" l="1"/>
  <c r="H2" i="6"/>
  <c r="I2" i="6"/>
  <c r="J2" i="6" s="1"/>
  <c r="D39" i="5"/>
  <c r="D40" i="5"/>
  <c r="D41" i="5"/>
  <c r="D42" i="5"/>
  <c r="D43" i="5"/>
  <c r="D44" i="5"/>
  <c r="D45" i="5"/>
  <c r="D46" i="5"/>
  <c r="D47" i="5"/>
  <c r="D48" i="5"/>
  <c r="D49" i="5"/>
  <c r="P23" i="2"/>
  <c r="P24" i="2"/>
  <c r="P25" i="2"/>
  <c r="P26" i="2"/>
  <c r="P27" i="2"/>
  <c r="P22" i="2"/>
  <c r="O23" i="2"/>
  <c r="O24" i="2"/>
  <c r="O25" i="2"/>
  <c r="O26" i="2"/>
  <c r="O27" i="2"/>
  <c r="O22" i="2"/>
  <c r="N23" i="2"/>
  <c r="N24" i="2"/>
  <c r="N25" i="2"/>
  <c r="N26" i="2"/>
  <c r="N27" i="2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K262" i="6"/>
  <c r="K265" i="6" s="1"/>
  <c r="K261" i="6"/>
  <c r="K264" i="6" s="1"/>
  <c r="K260" i="6"/>
  <c r="K263" i="6" s="1"/>
  <c r="Q13" i="6"/>
  <c r="Q10" i="6"/>
  <c r="Q12" i="6"/>
  <c r="I32" i="6"/>
  <c r="J32" i="6" s="1"/>
  <c r="H3" i="6"/>
  <c r="I3" i="6" s="1"/>
  <c r="J3" i="6" s="1"/>
  <c r="H4" i="6"/>
  <c r="I4" i="6" s="1"/>
  <c r="J4" i="6" s="1"/>
  <c r="H5" i="6"/>
  <c r="I5" i="6" s="1"/>
  <c r="J5" i="6" s="1"/>
  <c r="H6" i="6"/>
  <c r="I6" i="6" s="1"/>
  <c r="J6" i="6" s="1"/>
  <c r="H7" i="6"/>
  <c r="I7" i="6" s="1"/>
  <c r="J7" i="6" s="1"/>
  <c r="H8" i="6"/>
  <c r="I8" i="6" s="1"/>
  <c r="J8" i="6" s="1"/>
  <c r="H9" i="6"/>
  <c r="I9" i="6" s="1"/>
  <c r="J9" i="6" s="1"/>
  <c r="H10" i="6"/>
  <c r="I10" i="6" s="1"/>
  <c r="J10" i="6" s="1"/>
  <c r="H11" i="6"/>
  <c r="I11" i="6" s="1"/>
  <c r="J11" i="6" s="1"/>
  <c r="H12" i="6"/>
  <c r="I12" i="6" s="1"/>
  <c r="J12" i="6" s="1"/>
  <c r="H13" i="6"/>
  <c r="I13" i="6" s="1"/>
  <c r="J13" i="6" s="1"/>
  <c r="H14" i="6"/>
  <c r="I14" i="6" s="1"/>
  <c r="J14" i="6" s="1"/>
  <c r="H15" i="6"/>
  <c r="I15" i="6" s="1"/>
  <c r="J15" i="6" s="1"/>
  <c r="H16" i="6"/>
  <c r="I16" i="6" s="1"/>
  <c r="J16" i="6" s="1"/>
  <c r="H17" i="6"/>
  <c r="I17" i="6" s="1"/>
  <c r="J17" i="6" s="1"/>
  <c r="H18" i="6"/>
  <c r="I18" i="6" s="1"/>
  <c r="J18" i="6" s="1"/>
  <c r="H19" i="6"/>
  <c r="I19" i="6" s="1"/>
  <c r="J19" i="6" s="1"/>
  <c r="H20" i="6"/>
  <c r="I20" i="6" s="1"/>
  <c r="J20" i="6" s="1"/>
  <c r="H21" i="6"/>
  <c r="I21" i="6" s="1"/>
  <c r="J21" i="6" s="1"/>
  <c r="H22" i="6"/>
  <c r="I22" i="6" s="1"/>
  <c r="J22" i="6" s="1"/>
  <c r="H23" i="6"/>
  <c r="I23" i="6" s="1"/>
  <c r="J23" i="6" s="1"/>
  <c r="H24" i="6"/>
  <c r="I24" i="6" s="1"/>
  <c r="J24" i="6" s="1"/>
  <c r="H25" i="6"/>
  <c r="I25" i="6" s="1"/>
  <c r="J25" i="6" s="1"/>
  <c r="H26" i="6"/>
  <c r="I26" i="6" s="1"/>
  <c r="J26" i="6" s="1"/>
  <c r="H27" i="6"/>
  <c r="I27" i="6" s="1"/>
  <c r="J27" i="6" s="1"/>
  <c r="H28" i="6"/>
  <c r="I28" i="6" s="1"/>
  <c r="J28" i="6" s="1"/>
  <c r="H29" i="6"/>
  <c r="I29" i="6" s="1"/>
  <c r="J29" i="6" s="1"/>
  <c r="H30" i="6"/>
  <c r="I30" i="6" s="1"/>
  <c r="J30" i="6" s="1"/>
  <c r="H31" i="6"/>
  <c r="I31" i="6" s="1"/>
  <c r="J31" i="6" s="1"/>
  <c r="H33" i="6"/>
  <c r="I33" i="6" s="1"/>
  <c r="J33" i="6" s="1"/>
  <c r="H34" i="6"/>
  <c r="I34" i="6" s="1"/>
  <c r="J34" i="6" s="1"/>
  <c r="H35" i="6"/>
  <c r="I35" i="6" s="1"/>
  <c r="J35" i="6" s="1"/>
  <c r="H36" i="6"/>
  <c r="I36" i="6" s="1"/>
  <c r="J36" i="6" s="1"/>
  <c r="H37" i="6"/>
  <c r="I37" i="6" s="1"/>
  <c r="J37" i="6" s="1"/>
  <c r="H38" i="6"/>
  <c r="I38" i="6" s="1"/>
  <c r="J38" i="6" s="1"/>
  <c r="H39" i="6"/>
  <c r="I39" i="6" s="1"/>
  <c r="J39" i="6" s="1"/>
  <c r="H40" i="6"/>
  <c r="I40" i="6" s="1"/>
  <c r="J40" i="6" s="1"/>
  <c r="H41" i="6"/>
  <c r="I41" i="6" s="1"/>
  <c r="J41" i="6" s="1"/>
  <c r="H42" i="6"/>
  <c r="I42" i="6" s="1"/>
  <c r="J42" i="6" s="1"/>
  <c r="H43" i="6"/>
  <c r="I43" i="6" s="1"/>
  <c r="J43" i="6" s="1"/>
  <c r="H44" i="6"/>
  <c r="I44" i="6" s="1"/>
  <c r="J44" i="6" s="1"/>
  <c r="H45" i="6"/>
  <c r="I45" i="6" s="1"/>
  <c r="J45" i="6" s="1"/>
  <c r="H46" i="6"/>
  <c r="I46" i="6" s="1"/>
  <c r="J46" i="6" s="1"/>
  <c r="H47" i="6"/>
  <c r="I47" i="6" s="1"/>
  <c r="J47" i="6" s="1"/>
  <c r="H48" i="6"/>
  <c r="I48" i="6" s="1"/>
  <c r="J48" i="6" s="1"/>
  <c r="H49" i="6"/>
  <c r="I49" i="6" s="1"/>
  <c r="J49" i="6" s="1"/>
  <c r="H50" i="6"/>
  <c r="I50" i="6" s="1"/>
  <c r="J50" i="6" s="1"/>
  <c r="H51" i="6"/>
  <c r="I51" i="6" s="1"/>
  <c r="J51" i="6" s="1"/>
  <c r="H52" i="6"/>
  <c r="I52" i="6" s="1"/>
  <c r="J52" i="6" s="1"/>
  <c r="H53" i="6"/>
  <c r="I53" i="6" s="1"/>
  <c r="J53" i="6" s="1"/>
  <c r="H54" i="6"/>
  <c r="I54" i="6" s="1"/>
  <c r="J54" i="6" s="1"/>
  <c r="H55" i="6"/>
  <c r="I55" i="6" s="1"/>
  <c r="J55" i="6" s="1"/>
  <c r="H56" i="6"/>
  <c r="I56" i="6" s="1"/>
  <c r="J56" i="6" s="1"/>
  <c r="H57" i="6"/>
  <c r="I57" i="6" s="1"/>
  <c r="J57" i="6" s="1"/>
  <c r="H58" i="6"/>
  <c r="I58" i="6" s="1"/>
  <c r="J58" i="6" s="1"/>
  <c r="H59" i="6"/>
  <c r="I59" i="6" s="1"/>
  <c r="J59" i="6" s="1"/>
  <c r="H60" i="6"/>
  <c r="I60" i="6" s="1"/>
  <c r="J60" i="6" s="1"/>
  <c r="H61" i="6"/>
  <c r="I61" i="6" s="1"/>
  <c r="J61" i="6" s="1"/>
  <c r="H62" i="6"/>
  <c r="I62" i="6" s="1"/>
  <c r="J62" i="6" s="1"/>
  <c r="H63" i="6"/>
  <c r="I63" i="6" s="1"/>
  <c r="J63" i="6" s="1"/>
  <c r="H64" i="6"/>
  <c r="I64" i="6" s="1"/>
  <c r="J64" i="6" s="1"/>
  <c r="H65" i="6"/>
  <c r="I65" i="6" s="1"/>
  <c r="J65" i="6" s="1"/>
  <c r="H66" i="6"/>
  <c r="I66" i="6" s="1"/>
  <c r="J66" i="6" s="1"/>
  <c r="H67" i="6"/>
  <c r="I67" i="6" s="1"/>
  <c r="J67" i="6" s="1"/>
  <c r="H68" i="6"/>
  <c r="I68" i="6" s="1"/>
  <c r="J68" i="6" s="1"/>
  <c r="H69" i="6"/>
  <c r="I69" i="6" s="1"/>
  <c r="J69" i="6" s="1"/>
  <c r="H70" i="6"/>
  <c r="I70" i="6" s="1"/>
  <c r="J70" i="6" s="1"/>
  <c r="H71" i="6"/>
  <c r="I71" i="6" s="1"/>
  <c r="J71" i="6" s="1"/>
  <c r="H72" i="6"/>
  <c r="I72" i="6" s="1"/>
  <c r="J72" i="6" s="1"/>
  <c r="H73" i="6"/>
  <c r="I73" i="6" s="1"/>
  <c r="J73" i="6" s="1"/>
  <c r="H74" i="6"/>
  <c r="I74" i="6" s="1"/>
  <c r="J74" i="6" s="1"/>
  <c r="H75" i="6"/>
  <c r="I75" i="6" s="1"/>
  <c r="J75" i="6" s="1"/>
  <c r="H76" i="6"/>
  <c r="I76" i="6" s="1"/>
  <c r="J76" i="6" s="1"/>
  <c r="H77" i="6"/>
  <c r="I77" i="6" s="1"/>
  <c r="J77" i="6" s="1"/>
  <c r="H78" i="6"/>
  <c r="I78" i="6" s="1"/>
  <c r="J78" i="6" s="1"/>
  <c r="H79" i="6"/>
  <c r="I79" i="6" s="1"/>
  <c r="J79" i="6" s="1"/>
  <c r="H80" i="6"/>
  <c r="I80" i="6" s="1"/>
  <c r="J80" i="6" s="1"/>
  <c r="H81" i="6"/>
  <c r="I81" i="6" s="1"/>
  <c r="J81" i="6" s="1"/>
  <c r="H82" i="6"/>
  <c r="I82" i="6" s="1"/>
  <c r="J82" i="6" s="1"/>
  <c r="H83" i="6"/>
  <c r="I83" i="6" s="1"/>
  <c r="J83" i="6" s="1"/>
  <c r="H84" i="6"/>
  <c r="I84" i="6" s="1"/>
  <c r="J84" i="6" s="1"/>
  <c r="H85" i="6"/>
  <c r="I85" i="6" s="1"/>
  <c r="J85" i="6" s="1"/>
  <c r="H86" i="6"/>
  <c r="I86" i="6" s="1"/>
  <c r="J86" i="6" s="1"/>
  <c r="H87" i="6"/>
  <c r="I87" i="6" s="1"/>
  <c r="J87" i="6" s="1"/>
  <c r="H88" i="6"/>
  <c r="I88" i="6" s="1"/>
  <c r="J88" i="6" s="1"/>
  <c r="H89" i="6"/>
  <c r="I89" i="6" s="1"/>
  <c r="J89" i="6" s="1"/>
  <c r="H90" i="6"/>
  <c r="I90" i="6" s="1"/>
  <c r="J90" i="6" s="1"/>
  <c r="H91" i="6"/>
  <c r="I91" i="6" s="1"/>
  <c r="J91" i="6" s="1"/>
  <c r="H92" i="6"/>
  <c r="I92" i="6" s="1"/>
  <c r="J92" i="6" s="1"/>
  <c r="H93" i="6"/>
  <c r="I93" i="6" s="1"/>
  <c r="J93" i="6" s="1"/>
  <c r="H94" i="6"/>
  <c r="I94" i="6" s="1"/>
  <c r="J94" i="6" s="1"/>
  <c r="H95" i="6"/>
  <c r="I95" i="6" s="1"/>
  <c r="J95" i="6" s="1"/>
  <c r="H96" i="6"/>
  <c r="I96" i="6" s="1"/>
  <c r="J96" i="6" s="1"/>
  <c r="H97" i="6"/>
  <c r="I97" i="6" s="1"/>
  <c r="J97" i="6" s="1"/>
  <c r="H98" i="6"/>
  <c r="I98" i="6" s="1"/>
  <c r="J98" i="6" s="1"/>
  <c r="H99" i="6"/>
  <c r="I99" i="6" s="1"/>
  <c r="J99" i="6" s="1"/>
  <c r="H100" i="6"/>
  <c r="I100" i="6" s="1"/>
  <c r="J100" i="6" s="1"/>
  <c r="H101" i="6"/>
  <c r="I101" i="6" s="1"/>
  <c r="J101" i="6" s="1"/>
  <c r="H102" i="6"/>
  <c r="I102" i="6" s="1"/>
  <c r="J102" i="6" s="1"/>
  <c r="H103" i="6"/>
  <c r="I103" i="6" s="1"/>
  <c r="J103" i="6" s="1"/>
  <c r="H104" i="6"/>
  <c r="I104" i="6" s="1"/>
  <c r="J104" i="6" s="1"/>
  <c r="H105" i="6"/>
  <c r="I105" i="6" s="1"/>
  <c r="J105" i="6" s="1"/>
  <c r="H106" i="6"/>
  <c r="I106" i="6" s="1"/>
  <c r="J106" i="6" s="1"/>
  <c r="H107" i="6"/>
  <c r="I107" i="6" s="1"/>
  <c r="J107" i="6" s="1"/>
  <c r="H108" i="6"/>
  <c r="I108" i="6" s="1"/>
  <c r="J108" i="6" s="1"/>
  <c r="H109" i="6"/>
  <c r="I109" i="6" s="1"/>
  <c r="J109" i="6" s="1"/>
  <c r="H110" i="6"/>
  <c r="I110" i="6" s="1"/>
  <c r="J110" i="6" s="1"/>
  <c r="H111" i="6"/>
  <c r="I111" i="6" s="1"/>
  <c r="J111" i="6" s="1"/>
  <c r="H112" i="6"/>
  <c r="I112" i="6" s="1"/>
  <c r="J112" i="6" s="1"/>
  <c r="H113" i="6"/>
  <c r="I113" i="6" s="1"/>
  <c r="J113" i="6" s="1"/>
  <c r="H114" i="6"/>
  <c r="I114" i="6" s="1"/>
  <c r="J114" i="6" s="1"/>
  <c r="H115" i="6"/>
  <c r="I115" i="6" s="1"/>
  <c r="J115" i="6" s="1"/>
  <c r="H116" i="6"/>
  <c r="I116" i="6" s="1"/>
  <c r="J116" i="6" s="1"/>
  <c r="H117" i="6"/>
  <c r="I117" i="6" s="1"/>
  <c r="J117" i="6" s="1"/>
  <c r="H118" i="6"/>
  <c r="I118" i="6" s="1"/>
  <c r="J118" i="6" s="1"/>
  <c r="H119" i="6"/>
  <c r="I119" i="6" s="1"/>
  <c r="J119" i="6" s="1"/>
  <c r="H120" i="6"/>
  <c r="I120" i="6" s="1"/>
  <c r="J120" i="6" s="1"/>
  <c r="H121" i="6"/>
  <c r="I121" i="6" s="1"/>
  <c r="J121" i="6" s="1"/>
  <c r="H122" i="6"/>
  <c r="I122" i="6" s="1"/>
  <c r="J122" i="6" s="1"/>
  <c r="H123" i="6"/>
  <c r="I123" i="6" s="1"/>
  <c r="J123" i="6" s="1"/>
  <c r="H124" i="6"/>
  <c r="I124" i="6" s="1"/>
  <c r="J124" i="6" s="1"/>
  <c r="H125" i="6"/>
  <c r="I125" i="6" s="1"/>
  <c r="J125" i="6" s="1"/>
  <c r="H126" i="6"/>
  <c r="I126" i="6" s="1"/>
  <c r="J126" i="6" s="1"/>
  <c r="H127" i="6"/>
  <c r="I127" i="6" s="1"/>
  <c r="J127" i="6" s="1"/>
  <c r="H128" i="6"/>
  <c r="I128" i="6" s="1"/>
  <c r="J128" i="6" s="1"/>
  <c r="H129" i="6"/>
  <c r="I129" i="6" s="1"/>
  <c r="J129" i="6" s="1"/>
  <c r="H130" i="6"/>
  <c r="I130" i="6" s="1"/>
  <c r="J130" i="6" s="1"/>
  <c r="H131" i="6"/>
  <c r="I131" i="6" s="1"/>
  <c r="J131" i="6" s="1"/>
  <c r="H132" i="6"/>
  <c r="I132" i="6" s="1"/>
  <c r="J132" i="6" s="1"/>
  <c r="H133" i="6"/>
  <c r="I133" i="6" s="1"/>
  <c r="J133" i="6" s="1"/>
  <c r="H134" i="6"/>
  <c r="I134" i="6" s="1"/>
  <c r="J134" i="6" s="1"/>
  <c r="H135" i="6"/>
  <c r="I135" i="6" s="1"/>
  <c r="J135" i="6" s="1"/>
  <c r="H136" i="6"/>
  <c r="I136" i="6" s="1"/>
  <c r="J136" i="6" s="1"/>
  <c r="H137" i="6"/>
  <c r="I137" i="6" s="1"/>
  <c r="J137" i="6" s="1"/>
  <c r="H138" i="6"/>
  <c r="I138" i="6" s="1"/>
  <c r="J138" i="6" s="1"/>
  <c r="H139" i="6"/>
  <c r="I139" i="6" s="1"/>
  <c r="J139" i="6" s="1"/>
  <c r="H140" i="6"/>
  <c r="I140" i="6" s="1"/>
  <c r="J140" i="6" s="1"/>
  <c r="H141" i="6"/>
  <c r="I141" i="6" s="1"/>
  <c r="J141" i="6" s="1"/>
  <c r="H142" i="6"/>
  <c r="I142" i="6" s="1"/>
  <c r="J142" i="6" s="1"/>
  <c r="H143" i="6"/>
  <c r="I143" i="6" s="1"/>
  <c r="J143" i="6" s="1"/>
  <c r="H144" i="6"/>
  <c r="I144" i="6" s="1"/>
  <c r="J144" i="6" s="1"/>
  <c r="H145" i="6"/>
  <c r="I145" i="6" s="1"/>
  <c r="J145" i="6" s="1"/>
  <c r="H146" i="6"/>
  <c r="I146" i="6" s="1"/>
  <c r="J146" i="6" s="1"/>
  <c r="H147" i="6"/>
  <c r="I147" i="6" s="1"/>
  <c r="J147" i="6" s="1"/>
  <c r="H148" i="6"/>
  <c r="I148" i="6" s="1"/>
  <c r="J148" i="6" s="1"/>
  <c r="H149" i="6"/>
  <c r="I149" i="6" s="1"/>
  <c r="J149" i="6" s="1"/>
  <c r="H150" i="6"/>
  <c r="I150" i="6" s="1"/>
  <c r="J150" i="6" s="1"/>
  <c r="H151" i="6"/>
  <c r="I151" i="6" s="1"/>
  <c r="J151" i="6" s="1"/>
  <c r="H152" i="6"/>
  <c r="I152" i="6" s="1"/>
  <c r="J152" i="6" s="1"/>
  <c r="H153" i="6"/>
  <c r="I153" i="6" s="1"/>
  <c r="J153" i="6" s="1"/>
  <c r="H154" i="6"/>
  <c r="I154" i="6" s="1"/>
  <c r="J154" i="6" s="1"/>
  <c r="H155" i="6"/>
  <c r="I155" i="6" s="1"/>
  <c r="J155" i="6" s="1"/>
  <c r="H156" i="6"/>
  <c r="I156" i="6" s="1"/>
  <c r="J156" i="6" s="1"/>
  <c r="H157" i="6"/>
  <c r="I157" i="6" s="1"/>
  <c r="J157" i="6" s="1"/>
  <c r="H158" i="6"/>
  <c r="I158" i="6" s="1"/>
  <c r="J158" i="6" s="1"/>
  <c r="H159" i="6"/>
  <c r="I159" i="6" s="1"/>
  <c r="J159" i="6" s="1"/>
  <c r="H160" i="6"/>
  <c r="I160" i="6" s="1"/>
  <c r="J160" i="6" s="1"/>
  <c r="H161" i="6"/>
  <c r="I161" i="6" s="1"/>
  <c r="J161" i="6" s="1"/>
  <c r="H162" i="6"/>
  <c r="I162" i="6" s="1"/>
  <c r="J162" i="6" s="1"/>
  <c r="H163" i="6"/>
  <c r="I163" i="6" s="1"/>
  <c r="J163" i="6" s="1"/>
  <c r="H164" i="6"/>
  <c r="I164" i="6" s="1"/>
  <c r="J164" i="6" s="1"/>
  <c r="H165" i="6"/>
  <c r="I165" i="6" s="1"/>
  <c r="J165" i="6" s="1"/>
  <c r="H166" i="6"/>
  <c r="I166" i="6" s="1"/>
  <c r="J166" i="6" s="1"/>
  <c r="H167" i="6"/>
  <c r="I167" i="6" s="1"/>
  <c r="J167" i="6" s="1"/>
  <c r="H168" i="6"/>
  <c r="I168" i="6" s="1"/>
  <c r="J168" i="6" s="1"/>
  <c r="H169" i="6"/>
  <c r="I169" i="6" s="1"/>
  <c r="J169" i="6" s="1"/>
  <c r="H170" i="6"/>
  <c r="I170" i="6" s="1"/>
  <c r="J170" i="6" s="1"/>
  <c r="H171" i="6"/>
  <c r="I171" i="6" s="1"/>
  <c r="J171" i="6" s="1"/>
  <c r="H172" i="6"/>
  <c r="I172" i="6" s="1"/>
  <c r="J172" i="6" s="1"/>
  <c r="H173" i="6"/>
  <c r="I173" i="6" s="1"/>
  <c r="J173" i="6" s="1"/>
  <c r="H174" i="6"/>
  <c r="I174" i="6" s="1"/>
  <c r="J174" i="6" s="1"/>
  <c r="H175" i="6"/>
  <c r="I175" i="6" s="1"/>
  <c r="J175" i="6" s="1"/>
  <c r="H176" i="6"/>
  <c r="I176" i="6" s="1"/>
  <c r="J176" i="6" s="1"/>
  <c r="H177" i="6"/>
  <c r="I177" i="6" s="1"/>
  <c r="J177" i="6" s="1"/>
  <c r="H178" i="6"/>
  <c r="I178" i="6" s="1"/>
  <c r="J178" i="6" s="1"/>
  <c r="H179" i="6"/>
  <c r="I179" i="6" s="1"/>
  <c r="J179" i="6" s="1"/>
  <c r="H180" i="6"/>
  <c r="I180" i="6" s="1"/>
  <c r="J180" i="6" s="1"/>
  <c r="H181" i="6"/>
  <c r="I181" i="6" s="1"/>
  <c r="J181" i="6" s="1"/>
  <c r="H182" i="6"/>
  <c r="I182" i="6" s="1"/>
  <c r="J182" i="6" s="1"/>
  <c r="H183" i="6"/>
  <c r="I183" i="6" s="1"/>
  <c r="J183" i="6" s="1"/>
  <c r="H184" i="6"/>
  <c r="I184" i="6" s="1"/>
  <c r="J184" i="6" s="1"/>
  <c r="H185" i="6"/>
  <c r="I185" i="6" s="1"/>
  <c r="J185" i="6" s="1"/>
  <c r="H186" i="6"/>
  <c r="I186" i="6" s="1"/>
  <c r="J186" i="6" s="1"/>
  <c r="H187" i="6"/>
  <c r="I187" i="6" s="1"/>
  <c r="J187" i="6" s="1"/>
  <c r="H188" i="6"/>
  <c r="I188" i="6" s="1"/>
  <c r="J188" i="6" s="1"/>
  <c r="H189" i="6"/>
  <c r="I189" i="6" s="1"/>
  <c r="J189" i="6" s="1"/>
  <c r="H190" i="6"/>
  <c r="I190" i="6" s="1"/>
  <c r="J190" i="6" s="1"/>
  <c r="H191" i="6"/>
  <c r="I191" i="6" s="1"/>
  <c r="J191" i="6" s="1"/>
  <c r="H192" i="6"/>
  <c r="I192" i="6" s="1"/>
  <c r="J192" i="6" s="1"/>
  <c r="H193" i="6"/>
  <c r="I193" i="6" s="1"/>
  <c r="J193" i="6" s="1"/>
  <c r="H194" i="6"/>
  <c r="I194" i="6" s="1"/>
  <c r="J194" i="6" s="1"/>
  <c r="H195" i="6"/>
  <c r="I195" i="6" s="1"/>
  <c r="J195" i="6" s="1"/>
  <c r="H196" i="6"/>
  <c r="I196" i="6" s="1"/>
  <c r="J196" i="6" s="1"/>
  <c r="H197" i="6"/>
  <c r="I197" i="6" s="1"/>
  <c r="J197" i="6" s="1"/>
  <c r="H198" i="6"/>
  <c r="I198" i="6" s="1"/>
  <c r="J198" i="6" s="1"/>
  <c r="H199" i="6"/>
  <c r="I199" i="6" s="1"/>
  <c r="J199" i="6" s="1"/>
  <c r="H200" i="6"/>
  <c r="I200" i="6" s="1"/>
  <c r="J200" i="6" s="1"/>
  <c r="H201" i="6"/>
  <c r="I201" i="6" s="1"/>
  <c r="J201" i="6" s="1"/>
  <c r="H202" i="6"/>
  <c r="I202" i="6" s="1"/>
  <c r="J202" i="6" s="1"/>
  <c r="H203" i="6"/>
  <c r="I203" i="6" s="1"/>
  <c r="J203" i="6" s="1"/>
  <c r="H204" i="6"/>
  <c r="I204" i="6" s="1"/>
  <c r="J204" i="6" s="1"/>
  <c r="H205" i="6"/>
  <c r="I205" i="6" s="1"/>
  <c r="J205" i="6" s="1"/>
  <c r="H206" i="6"/>
  <c r="I206" i="6" s="1"/>
  <c r="J206" i="6" s="1"/>
  <c r="H207" i="6"/>
  <c r="I207" i="6" s="1"/>
  <c r="J207" i="6" s="1"/>
  <c r="H208" i="6"/>
  <c r="I208" i="6" s="1"/>
  <c r="J208" i="6" s="1"/>
  <c r="H209" i="6"/>
  <c r="I209" i="6" s="1"/>
  <c r="J209" i="6" s="1"/>
  <c r="H210" i="6"/>
  <c r="I210" i="6" s="1"/>
  <c r="J210" i="6" s="1"/>
  <c r="H211" i="6"/>
  <c r="I211" i="6" s="1"/>
  <c r="J211" i="6" s="1"/>
  <c r="H212" i="6"/>
  <c r="I212" i="6" s="1"/>
  <c r="J212" i="6" s="1"/>
  <c r="H213" i="6"/>
  <c r="I213" i="6" s="1"/>
  <c r="J213" i="6" s="1"/>
  <c r="H214" i="6"/>
  <c r="I214" i="6" s="1"/>
  <c r="J214" i="6" s="1"/>
  <c r="H215" i="6"/>
  <c r="I215" i="6" s="1"/>
  <c r="J215" i="6" s="1"/>
  <c r="H216" i="6"/>
  <c r="I216" i="6" s="1"/>
  <c r="J216" i="6" s="1"/>
  <c r="H217" i="6"/>
  <c r="I217" i="6" s="1"/>
  <c r="J217" i="6" s="1"/>
  <c r="H218" i="6"/>
  <c r="I218" i="6" s="1"/>
  <c r="J218" i="6" s="1"/>
  <c r="H219" i="6"/>
  <c r="I219" i="6" s="1"/>
  <c r="J219" i="6" s="1"/>
  <c r="H220" i="6"/>
  <c r="I220" i="6" s="1"/>
  <c r="J220" i="6" s="1"/>
  <c r="H221" i="6"/>
  <c r="I221" i="6" s="1"/>
  <c r="J221" i="6" s="1"/>
  <c r="H222" i="6"/>
  <c r="I222" i="6" s="1"/>
  <c r="J222" i="6" s="1"/>
  <c r="H223" i="6"/>
  <c r="I223" i="6" s="1"/>
  <c r="J223" i="6" s="1"/>
  <c r="H224" i="6"/>
  <c r="I224" i="6" s="1"/>
  <c r="J224" i="6" s="1"/>
  <c r="H225" i="6"/>
  <c r="I225" i="6" s="1"/>
  <c r="J225" i="6" s="1"/>
  <c r="H226" i="6"/>
  <c r="I226" i="6" s="1"/>
  <c r="J226" i="6" s="1"/>
  <c r="H227" i="6"/>
  <c r="I227" i="6" s="1"/>
  <c r="J227" i="6" s="1"/>
  <c r="H228" i="6"/>
  <c r="I228" i="6" s="1"/>
  <c r="J228" i="6" s="1"/>
  <c r="H229" i="6"/>
  <c r="I229" i="6" s="1"/>
  <c r="J229" i="6" s="1"/>
  <c r="H230" i="6"/>
  <c r="I230" i="6" s="1"/>
  <c r="J230" i="6" s="1"/>
  <c r="H231" i="6"/>
  <c r="I231" i="6" s="1"/>
  <c r="J231" i="6" s="1"/>
  <c r="H232" i="6"/>
  <c r="I232" i="6" s="1"/>
  <c r="J232" i="6" s="1"/>
  <c r="H233" i="6"/>
  <c r="I233" i="6" s="1"/>
  <c r="J233" i="6" s="1"/>
  <c r="H234" i="6"/>
  <c r="I234" i="6" s="1"/>
  <c r="J234" i="6" s="1"/>
  <c r="H235" i="6"/>
  <c r="I235" i="6" s="1"/>
  <c r="J235" i="6" s="1"/>
  <c r="H236" i="6"/>
  <c r="I236" i="6" s="1"/>
  <c r="J236" i="6" s="1"/>
  <c r="H237" i="6"/>
  <c r="I237" i="6" s="1"/>
  <c r="J237" i="6" s="1"/>
  <c r="H238" i="6"/>
  <c r="I238" i="6" s="1"/>
  <c r="J238" i="6" s="1"/>
  <c r="H239" i="6"/>
  <c r="I239" i="6" s="1"/>
  <c r="J239" i="6" s="1"/>
  <c r="H240" i="6"/>
  <c r="I240" i="6" s="1"/>
  <c r="J240" i="6" s="1"/>
  <c r="H241" i="6"/>
  <c r="I241" i="6" s="1"/>
  <c r="J241" i="6" s="1"/>
  <c r="H242" i="6"/>
  <c r="I242" i="6" s="1"/>
  <c r="J242" i="6" s="1"/>
  <c r="H243" i="6"/>
  <c r="I243" i="6" s="1"/>
  <c r="J243" i="6" s="1"/>
  <c r="H244" i="6"/>
  <c r="I244" i="6" s="1"/>
  <c r="J244" i="6" s="1"/>
  <c r="H245" i="6"/>
  <c r="I245" i="6" s="1"/>
  <c r="J245" i="6" s="1"/>
  <c r="H246" i="6"/>
  <c r="I246" i="6" s="1"/>
  <c r="J246" i="6" s="1"/>
  <c r="H247" i="6"/>
  <c r="I247" i="6" s="1"/>
  <c r="J247" i="6" s="1"/>
  <c r="H248" i="6"/>
  <c r="I248" i="6" s="1"/>
  <c r="J248" i="6" s="1"/>
  <c r="H249" i="6"/>
  <c r="I249" i="6" s="1"/>
  <c r="J249" i="6" s="1"/>
  <c r="H250" i="6"/>
  <c r="I250" i="6" s="1"/>
  <c r="J250" i="6" s="1"/>
  <c r="H251" i="6"/>
  <c r="I251" i="6" s="1"/>
  <c r="J251" i="6" s="1"/>
  <c r="H252" i="6"/>
  <c r="I252" i="6" s="1"/>
  <c r="J252" i="6" s="1"/>
  <c r="H253" i="6"/>
  <c r="I253" i="6" s="1"/>
  <c r="J253" i="6" s="1"/>
  <c r="H254" i="6"/>
  <c r="I254" i="6" s="1"/>
  <c r="J254" i="6" s="1"/>
  <c r="H255" i="6"/>
  <c r="I255" i="6" s="1"/>
  <c r="J255" i="6" s="1"/>
  <c r="H256" i="6"/>
  <c r="I256" i="6" s="1"/>
  <c r="J256" i="6" s="1"/>
  <c r="H257" i="6"/>
  <c r="I257" i="6" s="1"/>
  <c r="J257" i="6" s="1"/>
  <c r="H258" i="6"/>
  <c r="I258" i="6" s="1"/>
  <c r="J258" i="6" s="1"/>
  <c r="H259" i="6"/>
  <c r="I259" i="6" s="1"/>
  <c r="J259" i="6" s="1"/>
  <c r="H260" i="6"/>
  <c r="I260" i="6" s="1"/>
  <c r="J260" i="6" s="1"/>
  <c r="H261" i="6"/>
  <c r="I261" i="6" s="1"/>
  <c r="J261" i="6" s="1"/>
  <c r="H262" i="6"/>
  <c r="I262" i="6" s="1"/>
  <c r="J262" i="6" s="1"/>
  <c r="H263" i="6"/>
  <c r="I263" i="6" s="1"/>
  <c r="J263" i="6" s="1"/>
  <c r="H264" i="6"/>
  <c r="I264" i="6" s="1"/>
  <c r="J264" i="6" s="1"/>
  <c r="H265" i="6"/>
  <c r="I265" i="6" s="1"/>
  <c r="J265" i="6" s="1"/>
  <c r="H266" i="6"/>
  <c r="I266" i="6" s="1"/>
  <c r="J266" i="6" s="1"/>
  <c r="H267" i="6"/>
  <c r="I267" i="6" s="1"/>
  <c r="J267" i="6" s="1"/>
  <c r="H268" i="6"/>
  <c r="I268" i="6" s="1"/>
  <c r="J268" i="6" s="1"/>
  <c r="H269" i="6"/>
  <c r="I269" i="6" s="1"/>
  <c r="J269" i="6" s="1"/>
  <c r="H270" i="6"/>
  <c r="I270" i="6" s="1"/>
  <c r="J270" i="6" s="1"/>
  <c r="H271" i="6"/>
  <c r="I271" i="6" s="1"/>
  <c r="J271" i="6" s="1"/>
  <c r="H272" i="6"/>
  <c r="I272" i="6" s="1"/>
  <c r="J272" i="6" s="1"/>
  <c r="H273" i="6"/>
  <c r="I273" i="6" s="1"/>
  <c r="J273" i="6" s="1"/>
  <c r="H274" i="6"/>
  <c r="I274" i="6" s="1"/>
  <c r="J274" i="6" s="1"/>
  <c r="H275" i="6"/>
  <c r="I275" i="6" s="1"/>
  <c r="J275" i="6" s="1"/>
  <c r="H276" i="6"/>
  <c r="I276" i="6" s="1"/>
  <c r="J276" i="6" s="1"/>
  <c r="H277" i="6"/>
  <c r="I277" i="6" s="1"/>
  <c r="J277" i="6" s="1"/>
  <c r="H278" i="6"/>
  <c r="I278" i="6" s="1"/>
  <c r="J278" i="6" s="1"/>
  <c r="H279" i="6"/>
  <c r="I279" i="6" s="1"/>
  <c r="J279" i="6" s="1"/>
  <c r="H280" i="6"/>
  <c r="I280" i="6" s="1"/>
  <c r="J280" i="6" s="1"/>
  <c r="H281" i="6"/>
  <c r="I281" i="6" s="1"/>
  <c r="J281" i="6" s="1"/>
  <c r="H282" i="6"/>
  <c r="I282" i="6" s="1"/>
  <c r="J282" i="6" s="1"/>
  <c r="H283" i="6"/>
  <c r="I283" i="6" s="1"/>
  <c r="J283" i="6" s="1"/>
  <c r="H284" i="6"/>
  <c r="I284" i="6" s="1"/>
  <c r="J284" i="6" s="1"/>
  <c r="H285" i="6"/>
  <c r="I285" i="6" s="1"/>
  <c r="J285" i="6" s="1"/>
  <c r="H286" i="6"/>
  <c r="I286" i="6" s="1"/>
  <c r="J286" i="6" s="1"/>
  <c r="H287" i="6"/>
  <c r="I287" i="6" s="1"/>
  <c r="J287" i="6" s="1"/>
  <c r="H288" i="6"/>
  <c r="I288" i="6" s="1"/>
  <c r="J288" i="6" s="1"/>
  <c r="H289" i="6"/>
  <c r="I289" i="6" s="1"/>
  <c r="J289" i="6" s="1"/>
  <c r="H290" i="6"/>
  <c r="I290" i="6" s="1"/>
  <c r="J290" i="6" s="1"/>
  <c r="H291" i="6"/>
  <c r="I291" i="6" s="1"/>
  <c r="J291" i="6" s="1"/>
  <c r="H292" i="6"/>
  <c r="I292" i="6" s="1"/>
  <c r="J292" i="6" s="1"/>
  <c r="H293" i="6"/>
  <c r="I293" i="6" s="1"/>
  <c r="J293" i="6" s="1"/>
  <c r="H294" i="6"/>
  <c r="I294" i="6" s="1"/>
  <c r="J294" i="6" s="1"/>
  <c r="H295" i="6"/>
  <c r="I295" i="6" s="1"/>
  <c r="J295" i="6" s="1"/>
  <c r="H296" i="6"/>
  <c r="I296" i="6" s="1"/>
  <c r="J296" i="6" s="1"/>
  <c r="H297" i="6"/>
  <c r="I297" i="6" s="1"/>
  <c r="J297" i="6" s="1"/>
  <c r="H298" i="6"/>
  <c r="I298" i="6" s="1"/>
  <c r="J298" i="6" s="1"/>
  <c r="H299" i="6"/>
  <c r="I299" i="6" s="1"/>
  <c r="J299" i="6" s="1"/>
  <c r="H300" i="6"/>
  <c r="I300" i="6" s="1"/>
  <c r="J300" i="6" s="1"/>
  <c r="H301" i="6"/>
  <c r="I301" i="6" s="1"/>
  <c r="J301" i="6" s="1"/>
  <c r="H302" i="6"/>
  <c r="I302" i="6" s="1"/>
  <c r="J302" i="6" s="1"/>
  <c r="H303" i="6"/>
  <c r="I303" i="6" s="1"/>
  <c r="J303" i="6" s="1"/>
  <c r="H304" i="6"/>
  <c r="I304" i="6" s="1"/>
  <c r="J304" i="6" s="1"/>
  <c r="H305" i="6"/>
  <c r="I305" i="6" s="1"/>
  <c r="J305" i="6" s="1"/>
  <c r="H306" i="6"/>
  <c r="I306" i="6" s="1"/>
  <c r="J306" i="6" s="1"/>
  <c r="H307" i="6"/>
  <c r="I307" i="6" s="1"/>
  <c r="J307" i="6" s="1"/>
  <c r="H308" i="6"/>
  <c r="I308" i="6" s="1"/>
  <c r="J308" i="6" s="1"/>
  <c r="H309" i="6"/>
  <c r="I309" i="6" s="1"/>
  <c r="J309" i="6" s="1"/>
  <c r="H310" i="6"/>
  <c r="I310" i="6" s="1"/>
  <c r="J310" i="6" s="1"/>
  <c r="H311" i="6"/>
  <c r="I311" i="6" s="1"/>
  <c r="J311" i="6" s="1"/>
  <c r="H312" i="6"/>
  <c r="I312" i="6" s="1"/>
  <c r="J312" i="6" s="1"/>
  <c r="H313" i="6"/>
  <c r="I313" i="6" s="1"/>
  <c r="J313" i="6" s="1"/>
  <c r="H314" i="6"/>
  <c r="I314" i="6" s="1"/>
  <c r="J314" i="6" s="1"/>
  <c r="H315" i="6"/>
  <c r="I315" i="6" s="1"/>
  <c r="J315" i="6" s="1"/>
  <c r="H316" i="6"/>
  <c r="I316" i="6" s="1"/>
  <c r="J316" i="6" s="1"/>
  <c r="H317" i="6"/>
  <c r="I317" i="6" s="1"/>
  <c r="J317" i="6" s="1"/>
  <c r="H318" i="6"/>
  <c r="I318" i="6" s="1"/>
  <c r="J318" i="6" s="1"/>
  <c r="H319" i="6"/>
  <c r="I319" i="6" s="1"/>
  <c r="J319" i="6" s="1"/>
  <c r="H320" i="6"/>
  <c r="I320" i="6" s="1"/>
  <c r="J320" i="6" s="1"/>
  <c r="H321" i="6"/>
  <c r="I321" i="6" s="1"/>
  <c r="J321" i="6" s="1"/>
  <c r="H322" i="6"/>
  <c r="I322" i="6" s="1"/>
  <c r="J322" i="6" s="1"/>
  <c r="H323" i="6"/>
  <c r="I323" i="6" s="1"/>
  <c r="J323" i="6" s="1"/>
  <c r="H324" i="6"/>
  <c r="I324" i="6" s="1"/>
  <c r="J324" i="6" s="1"/>
  <c r="H325" i="6"/>
  <c r="I325" i="6" s="1"/>
  <c r="J325" i="6" s="1"/>
  <c r="H326" i="6"/>
  <c r="I326" i="6" s="1"/>
  <c r="J326" i="6" s="1"/>
  <c r="H327" i="6"/>
  <c r="I327" i="6" s="1"/>
  <c r="J327" i="6" s="1"/>
  <c r="H328" i="6"/>
  <c r="I328" i="6" s="1"/>
  <c r="J328" i="6" s="1"/>
  <c r="H329" i="6"/>
  <c r="I329" i="6" s="1"/>
  <c r="J329" i="6" s="1"/>
  <c r="H330" i="6"/>
  <c r="I330" i="6" s="1"/>
  <c r="J330" i="6" s="1"/>
  <c r="H331" i="6"/>
  <c r="I331" i="6" s="1"/>
  <c r="J331" i="6" s="1"/>
  <c r="H332" i="6"/>
  <c r="I332" i="6" s="1"/>
  <c r="J332" i="6" s="1"/>
  <c r="H333" i="6"/>
  <c r="I333" i="6" s="1"/>
  <c r="J333" i="6" s="1"/>
  <c r="H334" i="6"/>
  <c r="I334" i="6" s="1"/>
  <c r="J334" i="6" s="1"/>
  <c r="H335" i="6"/>
  <c r="I335" i="6" s="1"/>
  <c r="J335" i="6" s="1"/>
  <c r="H336" i="6"/>
  <c r="I336" i="6" s="1"/>
  <c r="J336" i="6" s="1"/>
  <c r="H337" i="6"/>
  <c r="I337" i="6" s="1"/>
  <c r="J337" i="6" s="1"/>
  <c r="H338" i="6"/>
  <c r="I338" i="6" s="1"/>
  <c r="J338" i="6" s="1"/>
  <c r="H339" i="6"/>
  <c r="I339" i="6" s="1"/>
  <c r="J339" i="6" s="1"/>
  <c r="H340" i="6"/>
  <c r="I340" i="6" s="1"/>
  <c r="J340" i="6" s="1"/>
  <c r="H341" i="6"/>
  <c r="I341" i="6" s="1"/>
  <c r="J341" i="6" s="1"/>
  <c r="H342" i="6"/>
  <c r="I342" i="6" s="1"/>
  <c r="J342" i="6" s="1"/>
  <c r="H343" i="6"/>
  <c r="I343" i="6" s="1"/>
  <c r="J343" i="6" s="1"/>
  <c r="H344" i="6"/>
  <c r="I344" i="6" s="1"/>
  <c r="J344" i="6" s="1"/>
  <c r="H345" i="6"/>
  <c r="I345" i="6" s="1"/>
  <c r="J345" i="6" s="1"/>
  <c r="H346" i="6"/>
  <c r="I346" i="6" s="1"/>
  <c r="J346" i="6" s="1"/>
  <c r="H347" i="6"/>
  <c r="I347" i="6" s="1"/>
  <c r="J347" i="6" s="1"/>
  <c r="H348" i="6"/>
  <c r="I348" i="6" s="1"/>
  <c r="J348" i="6" s="1"/>
  <c r="H349" i="6"/>
  <c r="I349" i="6" s="1"/>
  <c r="J349" i="6" s="1"/>
  <c r="H350" i="6"/>
  <c r="I350" i="6" s="1"/>
  <c r="J350" i="6" s="1"/>
  <c r="H351" i="6"/>
  <c r="I351" i="6" s="1"/>
  <c r="J351" i="6" s="1"/>
  <c r="H352" i="6"/>
  <c r="I352" i="6" s="1"/>
  <c r="J352" i="6" s="1"/>
  <c r="H353" i="6"/>
  <c r="I353" i="6" s="1"/>
  <c r="J353" i="6" s="1"/>
  <c r="H354" i="6"/>
  <c r="I354" i="6" s="1"/>
  <c r="J354" i="6" s="1"/>
  <c r="H355" i="6"/>
  <c r="I355" i="6" s="1"/>
  <c r="J355" i="6" s="1"/>
  <c r="H356" i="6"/>
  <c r="I356" i="6" s="1"/>
  <c r="J356" i="6" s="1"/>
  <c r="H357" i="6"/>
  <c r="I357" i="6" s="1"/>
  <c r="J357" i="6" s="1"/>
  <c r="H358" i="6"/>
  <c r="I358" i="6" s="1"/>
  <c r="J358" i="6" s="1"/>
  <c r="H359" i="6"/>
  <c r="I359" i="6" s="1"/>
  <c r="J359" i="6" s="1"/>
  <c r="H360" i="6"/>
  <c r="I360" i="6" s="1"/>
  <c r="J360" i="6" s="1"/>
  <c r="H361" i="6"/>
  <c r="I361" i="6" s="1"/>
  <c r="J361" i="6" s="1"/>
  <c r="H362" i="6"/>
  <c r="I362" i="6" s="1"/>
  <c r="J362" i="6" s="1"/>
  <c r="H363" i="6"/>
  <c r="I363" i="6" s="1"/>
  <c r="J363" i="6" s="1"/>
  <c r="H364" i="6"/>
  <c r="I364" i="6" s="1"/>
  <c r="J364" i="6" s="1"/>
  <c r="H365" i="6"/>
  <c r="I365" i="6" s="1"/>
  <c r="J365" i="6" s="1"/>
  <c r="H366" i="6"/>
  <c r="I366" i="6" s="1"/>
  <c r="J366" i="6" s="1"/>
  <c r="H367" i="6"/>
  <c r="I367" i="6" s="1"/>
  <c r="J367" i="6" s="1"/>
  <c r="H368" i="6"/>
  <c r="I368" i="6" s="1"/>
  <c r="J368" i="6" s="1"/>
  <c r="H369" i="6"/>
  <c r="I369" i="6" s="1"/>
  <c r="J369" i="6" s="1"/>
  <c r="H370" i="6"/>
  <c r="I370" i="6" s="1"/>
  <c r="J370" i="6" s="1"/>
  <c r="H371" i="6"/>
  <c r="I371" i="6" s="1"/>
  <c r="J371" i="6" s="1"/>
  <c r="H372" i="6"/>
  <c r="I372" i="6" s="1"/>
  <c r="J372" i="6" s="1"/>
  <c r="H373" i="6"/>
  <c r="I373" i="6" s="1"/>
  <c r="J373" i="6" s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H2" i="1"/>
  <c r="V2" i="1"/>
  <c r="AI2" i="1" s="1"/>
  <c r="D265" i="6"/>
  <c r="D264" i="6"/>
  <c r="D263" i="6"/>
  <c r="Q3" i="5"/>
  <c r="Q4" i="5"/>
  <c r="Q5" i="5"/>
  <c r="Q6" i="5"/>
  <c r="Q7" i="5"/>
  <c r="Q8" i="5"/>
  <c r="Q9" i="5"/>
  <c r="Q10" i="5"/>
  <c r="Q11" i="5"/>
  <c r="Q12" i="5"/>
  <c r="Q13" i="5"/>
  <c r="Q14" i="5"/>
  <c r="D21" i="5"/>
  <c r="D22" i="5"/>
  <c r="D23" i="5"/>
  <c r="D24" i="5"/>
  <c r="D25" i="5"/>
  <c r="D26" i="5"/>
  <c r="D27" i="5"/>
  <c r="D28" i="5"/>
  <c r="D29" i="5"/>
  <c r="D30" i="5"/>
  <c r="D31" i="5"/>
  <c r="D32" i="5"/>
  <c r="D20" i="5"/>
  <c r="M23" i="2"/>
  <c r="M24" i="2"/>
  <c r="M25" i="2"/>
  <c r="M26" i="2"/>
  <c r="M27" i="2"/>
  <c r="M22" i="2"/>
  <c r="L23" i="2"/>
  <c r="L24" i="2"/>
  <c r="L25" i="2"/>
  <c r="L26" i="2"/>
  <c r="L27" i="2"/>
  <c r="K27" i="2"/>
  <c r="K24" i="2"/>
  <c r="K23" i="2"/>
  <c r="K25" i="2"/>
  <c r="K26" i="2"/>
  <c r="M17" i="2"/>
  <c r="L17" i="2"/>
  <c r="K17" i="2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H265" i="2"/>
  <c r="H264" i="2"/>
  <c r="H263" i="2"/>
  <c r="G262" i="2"/>
  <c r="G265" i="2" s="1"/>
  <c r="G261" i="2"/>
  <c r="G264" i="2" s="1"/>
  <c r="G260" i="2"/>
  <c r="G263" i="2" s="1"/>
  <c r="F263" i="2"/>
  <c r="F262" i="2"/>
  <c r="F265" i="2" s="1"/>
  <c r="F261" i="2"/>
  <c r="F264" i="2" s="1"/>
  <c r="F260" i="2"/>
  <c r="E265" i="2"/>
  <c r="E264" i="2"/>
  <c r="E263" i="2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2" i="1"/>
  <c r="AE262" i="1"/>
  <c r="AE265" i="1" s="1"/>
  <c r="AE261" i="1"/>
  <c r="AE264" i="1" s="1"/>
  <c r="AE260" i="1"/>
  <c r="AE263" i="1" s="1"/>
  <c r="AD261" i="1"/>
  <c r="AD264" i="1" s="1"/>
  <c r="AD262" i="1"/>
  <c r="AD265" i="1" s="1"/>
  <c r="AD260" i="1"/>
  <c r="AD263" i="1" s="1"/>
  <c r="AC261" i="1"/>
  <c r="AC264" i="1" s="1"/>
  <c r="AC262" i="1"/>
  <c r="AC265" i="1" s="1"/>
  <c r="AC260" i="1"/>
  <c r="AC263" i="1" s="1"/>
  <c r="AB261" i="1"/>
  <c r="AB264" i="1" s="1"/>
  <c r="AB262" i="1"/>
  <c r="AB265" i="1" s="1"/>
  <c r="AB260" i="1"/>
  <c r="AB263" i="1" s="1"/>
  <c r="V3" i="1"/>
  <c r="AI3" i="1" s="1"/>
  <c r="V4" i="1"/>
  <c r="AI4" i="1" s="1"/>
  <c r="V5" i="1"/>
  <c r="AI5" i="1" s="1"/>
  <c r="V6" i="1"/>
  <c r="AI6" i="1" s="1"/>
  <c r="V7" i="1"/>
  <c r="AI7" i="1" s="1"/>
  <c r="V8" i="1"/>
  <c r="AI8" i="1" s="1"/>
  <c r="V9" i="1"/>
  <c r="AI9" i="1" s="1"/>
  <c r="V10" i="1"/>
  <c r="AI10" i="1" s="1"/>
  <c r="V11" i="1"/>
  <c r="AI11" i="1" s="1"/>
  <c r="V12" i="1"/>
  <c r="AI12" i="1" s="1"/>
  <c r="V13" i="1"/>
  <c r="AI13" i="1" s="1"/>
  <c r="V14" i="1"/>
  <c r="AI14" i="1" s="1"/>
  <c r="V15" i="1"/>
  <c r="AI15" i="1" s="1"/>
  <c r="V16" i="1"/>
  <c r="AI16" i="1" s="1"/>
  <c r="V17" i="1"/>
  <c r="AI17" i="1" s="1"/>
  <c r="V18" i="1"/>
  <c r="AI18" i="1" s="1"/>
  <c r="V19" i="1"/>
  <c r="AI19" i="1" s="1"/>
  <c r="V20" i="1"/>
  <c r="AI20" i="1" s="1"/>
  <c r="V21" i="1"/>
  <c r="AI21" i="1" s="1"/>
  <c r="V22" i="1"/>
  <c r="AI22" i="1" s="1"/>
  <c r="V23" i="1"/>
  <c r="AI23" i="1" s="1"/>
  <c r="V24" i="1"/>
  <c r="AI24" i="1" s="1"/>
  <c r="V25" i="1"/>
  <c r="AI25" i="1" s="1"/>
  <c r="V26" i="1"/>
  <c r="AI26" i="1" s="1"/>
  <c r="V27" i="1"/>
  <c r="AI27" i="1" s="1"/>
  <c r="V28" i="1"/>
  <c r="AI28" i="1" s="1"/>
  <c r="V29" i="1"/>
  <c r="AI29" i="1" s="1"/>
  <c r="V30" i="1"/>
  <c r="AI30" i="1" s="1"/>
  <c r="V31" i="1"/>
  <c r="AI31" i="1" s="1"/>
  <c r="V32" i="1"/>
  <c r="AI32" i="1" s="1"/>
  <c r="V33" i="1"/>
  <c r="AI33" i="1" s="1"/>
  <c r="V34" i="1"/>
  <c r="AI34" i="1" s="1"/>
  <c r="V35" i="1"/>
  <c r="AI35" i="1" s="1"/>
  <c r="V36" i="1"/>
  <c r="AI36" i="1" s="1"/>
  <c r="V37" i="1"/>
  <c r="AI37" i="1" s="1"/>
  <c r="V38" i="1"/>
  <c r="AI38" i="1" s="1"/>
  <c r="V39" i="1"/>
  <c r="AI39" i="1" s="1"/>
  <c r="V40" i="1"/>
  <c r="AI40" i="1" s="1"/>
  <c r="V41" i="1"/>
  <c r="AI41" i="1" s="1"/>
  <c r="V42" i="1"/>
  <c r="AI42" i="1" s="1"/>
  <c r="V43" i="1"/>
  <c r="AI43" i="1" s="1"/>
  <c r="V44" i="1"/>
  <c r="AI44" i="1" s="1"/>
  <c r="V45" i="1"/>
  <c r="AI45" i="1" s="1"/>
  <c r="V46" i="1"/>
  <c r="AI46" i="1" s="1"/>
  <c r="V47" i="1"/>
  <c r="AI47" i="1" s="1"/>
  <c r="V48" i="1"/>
  <c r="AI48" i="1" s="1"/>
  <c r="V49" i="1"/>
  <c r="AI49" i="1" s="1"/>
  <c r="V50" i="1"/>
  <c r="AI50" i="1" s="1"/>
  <c r="V51" i="1"/>
  <c r="AI51" i="1" s="1"/>
  <c r="V52" i="1"/>
  <c r="AI52" i="1" s="1"/>
  <c r="V53" i="1"/>
  <c r="AI53" i="1" s="1"/>
  <c r="V54" i="1"/>
  <c r="AI54" i="1" s="1"/>
  <c r="V55" i="1"/>
  <c r="AI55" i="1" s="1"/>
  <c r="V56" i="1"/>
  <c r="AI56" i="1" s="1"/>
  <c r="V57" i="1"/>
  <c r="AI57" i="1" s="1"/>
  <c r="V58" i="1"/>
  <c r="AI58" i="1" s="1"/>
  <c r="V59" i="1"/>
  <c r="AI59" i="1" s="1"/>
  <c r="V60" i="1"/>
  <c r="AI60" i="1" s="1"/>
  <c r="V61" i="1"/>
  <c r="AI61" i="1" s="1"/>
  <c r="V62" i="1"/>
  <c r="AI62" i="1" s="1"/>
  <c r="V63" i="1"/>
  <c r="AI63" i="1" s="1"/>
  <c r="V64" i="1"/>
  <c r="AI64" i="1" s="1"/>
  <c r="V65" i="1"/>
  <c r="AI65" i="1" s="1"/>
  <c r="V66" i="1"/>
  <c r="AI66" i="1" s="1"/>
  <c r="V67" i="1"/>
  <c r="AI67" i="1" s="1"/>
  <c r="V68" i="1"/>
  <c r="AI68" i="1" s="1"/>
  <c r="V69" i="1"/>
  <c r="AI69" i="1" s="1"/>
  <c r="V70" i="1"/>
  <c r="AI70" i="1" s="1"/>
  <c r="V71" i="1"/>
  <c r="AI71" i="1" s="1"/>
  <c r="V72" i="1"/>
  <c r="AI72" i="1" s="1"/>
  <c r="V73" i="1"/>
  <c r="AI73" i="1" s="1"/>
  <c r="V74" i="1"/>
  <c r="AI74" i="1" s="1"/>
  <c r="V75" i="1"/>
  <c r="AI75" i="1" s="1"/>
  <c r="V76" i="1"/>
  <c r="AI76" i="1" s="1"/>
  <c r="V77" i="1"/>
  <c r="AI77" i="1" s="1"/>
  <c r="V78" i="1"/>
  <c r="AI78" i="1" s="1"/>
  <c r="V79" i="1"/>
  <c r="AI79" i="1" s="1"/>
  <c r="V80" i="1"/>
  <c r="AI80" i="1" s="1"/>
  <c r="V81" i="1"/>
  <c r="AI81" i="1" s="1"/>
  <c r="V82" i="1"/>
  <c r="AI82" i="1" s="1"/>
  <c r="V83" i="1"/>
  <c r="AI83" i="1" s="1"/>
  <c r="V84" i="1"/>
  <c r="AI84" i="1" s="1"/>
  <c r="V85" i="1"/>
  <c r="AI85" i="1" s="1"/>
  <c r="V86" i="1"/>
  <c r="AI86" i="1" s="1"/>
  <c r="V87" i="1"/>
  <c r="AI87" i="1" s="1"/>
  <c r="V88" i="1"/>
  <c r="AI88" i="1" s="1"/>
  <c r="V89" i="1"/>
  <c r="AI89" i="1" s="1"/>
  <c r="V90" i="1"/>
  <c r="AI90" i="1" s="1"/>
  <c r="V91" i="1"/>
  <c r="AI91" i="1" s="1"/>
  <c r="V92" i="1"/>
  <c r="AI92" i="1" s="1"/>
  <c r="V93" i="1"/>
  <c r="AI93" i="1" s="1"/>
  <c r="V94" i="1"/>
  <c r="AI94" i="1" s="1"/>
  <c r="V95" i="1"/>
  <c r="AI95" i="1" s="1"/>
  <c r="V96" i="1"/>
  <c r="AI96" i="1" s="1"/>
  <c r="V97" i="1"/>
  <c r="AI97" i="1" s="1"/>
  <c r="V98" i="1"/>
  <c r="AI98" i="1" s="1"/>
  <c r="V99" i="1"/>
  <c r="AI99" i="1" s="1"/>
  <c r="V100" i="1"/>
  <c r="AI100" i="1" s="1"/>
  <c r="V101" i="1"/>
  <c r="AI101" i="1" s="1"/>
  <c r="V102" i="1"/>
  <c r="AI102" i="1" s="1"/>
  <c r="V103" i="1"/>
  <c r="AI103" i="1" s="1"/>
  <c r="V104" i="1"/>
  <c r="AI104" i="1" s="1"/>
  <c r="V105" i="1"/>
  <c r="AI105" i="1" s="1"/>
  <c r="V106" i="1"/>
  <c r="AI106" i="1" s="1"/>
  <c r="V107" i="1"/>
  <c r="AI107" i="1" s="1"/>
  <c r="V108" i="1"/>
  <c r="AI108" i="1" s="1"/>
  <c r="V109" i="1"/>
  <c r="AI109" i="1" s="1"/>
  <c r="V110" i="1"/>
  <c r="AI110" i="1" s="1"/>
  <c r="V111" i="1"/>
  <c r="AI111" i="1" s="1"/>
  <c r="V112" i="1"/>
  <c r="AI112" i="1" s="1"/>
  <c r="V113" i="1"/>
  <c r="AI113" i="1" s="1"/>
  <c r="V114" i="1"/>
  <c r="AI114" i="1" s="1"/>
  <c r="V115" i="1"/>
  <c r="AI115" i="1" s="1"/>
  <c r="V116" i="1"/>
  <c r="AI116" i="1" s="1"/>
  <c r="V117" i="1"/>
  <c r="AI117" i="1" s="1"/>
  <c r="V118" i="1"/>
  <c r="AI118" i="1" s="1"/>
  <c r="V119" i="1"/>
  <c r="AI119" i="1" s="1"/>
  <c r="V120" i="1"/>
  <c r="AI120" i="1" s="1"/>
  <c r="V121" i="1"/>
  <c r="AI121" i="1" s="1"/>
  <c r="V122" i="1"/>
  <c r="AI122" i="1" s="1"/>
  <c r="V123" i="1"/>
  <c r="AI123" i="1" s="1"/>
  <c r="V124" i="1"/>
  <c r="AI124" i="1" s="1"/>
  <c r="V125" i="1"/>
  <c r="AI125" i="1" s="1"/>
  <c r="V126" i="1"/>
  <c r="AI126" i="1" s="1"/>
  <c r="V127" i="1"/>
  <c r="AI127" i="1" s="1"/>
  <c r="V128" i="1"/>
  <c r="AI128" i="1" s="1"/>
  <c r="V129" i="1"/>
  <c r="AI129" i="1" s="1"/>
  <c r="V130" i="1"/>
  <c r="AI130" i="1" s="1"/>
  <c r="V131" i="1"/>
  <c r="AI131" i="1" s="1"/>
  <c r="V132" i="1"/>
  <c r="AI132" i="1" s="1"/>
  <c r="V133" i="1"/>
  <c r="AI133" i="1" s="1"/>
  <c r="V134" i="1"/>
  <c r="AI134" i="1" s="1"/>
  <c r="V135" i="1"/>
  <c r="AI135" i="1" s="1"/>
  <c r="V136" i="1"/>
  <c r="AI136" i="1" s="1"/>
  <c r="V137" i="1"/>
  <c r="AI137" i="1" s="1"/>
  <c r="V138" i="1"/>
  <c r="AI138" i="1" s="1"/>
  <c r="V139" i="1"/>
  <c r="AI139" i="1" s="1"/>
  <c r="V140" i="1"/>
  <c r="AI140" i="1" s="1"/>
  <c r="V141" i="1"/>
  <c r="AI141" i="1" s="1"/>
  <c r="V142" i="1"/>
  <c r="AI142" i="1" s="1"/>
  <c r="V143" i="1"/>
  <c r="AI143" i="1" s="1"/>
  <c r="V144" i="1"/>
  <c r="AI144" i="1" s="1"/>
  <c r="V145" i="1"/>
  <c r="AI145" i="1" s="1"/>
  <c r="V146" i="1"/>
  <c r="AI146" i="1" s="1"/>
  <c r="V147" i="1"/>
  <c r="AI147" i="1" s="1"/>
  <c r="V148" i="1"/>
  <c r="AI148" i="1" s="1"/>
  <c r="V149" i="1"/>
  <c r="AI149" i="1" s="1"/>
  <c r="V150" i="1"/>
  <c r="AI150" i="1" s="1"/>
  <c r="V151" i="1"/>
  <c r="AI151" i="1" s="1"/>
  <c r="V152" i="1"/>
  <c r="AI152" i="1" s="1"/>
  <c r="V153" i="1"/>
  <c r="AI153" i="1" s="1"/>
  <c r="V154" i="1"/>
  <c r="AI154" i="1" s="1"/>
  <c r="V155" i="1"/>
  <c r="AI155" i="1" s="1"/>
  <c r="V156" i="1"/>
  <c r="AI156" i="1" s="1"/>
  <c r="V157" i="1"/>
  <c r="AI157" i="1" s="1"/>
  <c r="V158" i="1"/>
  <c r="AI158" i="1" s="1"/>
  <c r="V159" i="1"/>
  <c r="AI159" i="1" s="1"/>
  <c r="V160" i="1"/>
  <c r="AI160" i="1" s="1"/>
  <c r="V161" i="1"/>
  <c r="AI161" i="1" s="1"/>
  <c r="V162" i="1"/>
  <c r="AI162" i="1" s="1"/>
  <c r="V163" i="1"/>
  <c r="AI163" i="1" s="1"/>
  <c r="V164" i="1"/>
  <c r="AI164" i="1" s="1"/>
  <c r="V165" i="1"/>
  <c r="AI165" i="1" s="1"/>
  <c r="V166" i="1"/>
  <c r="AI166" i="1" s="1"/>
  <c r="V167" i="1"/>
  <c r="AI167" i="1" s="1"/>
  <c r="V168" i="1"/>
  <c r="AI168" i="1" s="1"/>
  <c r="V169" i="1"/>
  <c r="AI169" i="1" s="1"/>
  <c r="V170" i="1"/>
  <c r="AI170" i="1" s="1"/>
  <c r="V171" i="1"/>
  <c r="AI171" i="1" s="1"/>
  <c r="V172" i="1"/>
  <c r="AI172" i="1" s="1"/>
  <c r="V173" i="1"/>
  <c r="AI173" i="1" s="1"/>
  <c r="V174" i="1"/>
  <c r="AI174" i="1" s="1"/>
  <c r="V175" i="1"/>
  <c r="AI175" i="1" s="1"/>
  <c r="V176" i="1"/>
  <c r="AI176" i="1" s="1"/>
  <c r="V177" i="1"/>
  <c r="AI177" i="1" s="1"/>
  <c r="V178" i="1"/>
  <c r="AI178" i="1" s="1"/>
  <c r="V179" i="1"/>
  <c r="AI179" i="1" s="1"/>
  <c r="V180" i="1"/>
  <c r="AI180" i="1" s="1"/>
  <c r="V181" i="1"/>
  <c r="AI181" i="1" s="1"/>
  <c r="V182" i="1"/>
  <c r="AI182" i="1" s="1"/>
  <c r="V183" i="1"/>
  <c r="AI183" i="1" s="1"/>
  <c r="V184" i="1"/>
  <c r="AI184" i="1" s="1"/>
  <c r="V185" i="1"/>
  <c r="AI185" i="1" s="1"/>
  <c r="V186" i="1"/>
  <c r="AI186" i="1" s="1"/>
  <c r="V187" i="1"/>
  <c r="AI187" i="1" s="1"/>
  <c r="V188" i="1"/>
  <c r="AI188" i="1" s="1"/>
  <c r="V189" i="1"/>
  <c r="AI189" i="1" s="1"/>
  <c r="V190" i="1"/>
  <c r="AI190" i="1" s="1"/>
  <c r="V191" i="1"/>
  <c r="AI191" i="1" s="1"/>
  <c r="V192" i="1"/>
  <c r="AI192" i="1" s="1"/>
  <c r="V193" i="1"/>
  <c r="AI193" i="1" s="1"/>
  <c r="V194" i="1"/>
  <c r="AI194" i="1" s="1"/>
  <c r="V195" i="1"/>
  <c r="AI195" i="1" s="1"/>
  <c r="V196" i="1"/>
  <c r="AI196" i="1" s="1"/>
  <c r="V197" i="1"/>
  <c r="AI197" i="1" s="1"/>
  <c r="V198" i="1"/>
  <c r="AI198" i="1" s="1"/>
  <c r="V199" i="1"/>
  <c r="AI199" i="1" s="1"/>
  <c r="V200" i="1"/>
  <c r="AI200" i="1" s="1"/>
  <c r="V201" i="1"/>
  <c r="AI201" i="1" s="1"/>
  <c r="V202" i="1"/>
  <c r="AI202" i="1" s="1"/>
  <c r="V203" i="1"/>
  <c r="AI203" i="1" s="1"/>
  <c r="V204" i="1"/>
  <c r="AI204" i="1" s="1"/>
  <c r="V205" i="1"/>
  <c r="AI205" i="1" s="1"/>
  <c r="V206" i="1"/>
  <c r="AI206" i="1" s="1"/>
  <c r="V207" i="1"/>
  <c r="AI207" i="1" s="1"/>
  <c r="V208" i="1"/>
  <c r="AI208" i="1" s="1"/>
  <c r="V209" i="1"/>
  <c r="AI209" i="1" s="1"/>
  <c r="V210" i="1"/>
  <c r="AI210" i="1" s="1"/>
  <c r="V211" i="1"/>
  <c r="AI211" i="1" s="1"/>
  <c r="V212" i="1"/>
  <c r="AI212" i="1" s="1"/>
  <c r="V213" i="1"/>
  <c r="AI213" i="1" s="1"/>
  <c r="V214" i="1"/>
  <c r="AI214" i="1" s="1"/>
  <c r="V215" i="1"/>
  <c r="AI215" i="1" s="1"/>
  <c r="V216" i="1"/>
  <c r="AI216" i="1" s="1"/>
  <c r="V217" i="1"/>
  <c r="AI217" i="1" s="1"/>
  <c r="V218" i="1"/>
  <c r="AI218" i="1" s="1"/>
  <c r="V219" i="1"/>
  <c r="AI219" i="1" s="1"/>
  <c r="V220" i="1"/>
  <c r="AI220" i="1" s="1"/>
  <c r="V221" i="1"/>
  <c r="AI221" i="1" s="1"/>
  <c r="V222" i="1"/>
  <c r="AI222" i="1" s="1"/>
  <c r="V223" i="1"/>
  <c r="AI223" i="1" s="1"/>
  <c r="V224" i="1"/>
  <c r="AI224" i="1" s="1"/>
  <c r="V225" i="1"/>
  <c r="AI225" i="1" s="1"/>
  <c r="V226" i="1"/>
  <c r="AI226" i="1" s="1"/>
  <c r="V227" i="1"/>
  <c r="AI227" i="1" s="1"/>
  <c r="V228" i="1"/>
  <c r="AI228" i="1" s="1"/>
  <c r="V229" i="1"/>
  <c r="AI229" i="1" s="1"/>
  <c r="V230" i="1"/>
  <c r="AI230" i="1" s="1"/>
  <c r="V231" i="1"/>
  <c r="AI231" i="1" s="1"/>
  <c r="V232" i="1"/>
  <c r="AI232" i="1" s="1"/>
  <c r="V233" i="1"/>
  <c r="AI233" i="1" s="1"/>
  <c r="V234" i="1"/>
  <c r="AI234" i="1" s="1"/>
  <c r="V235" i="1"/>
  <c r="AI235" i="1" s="1"/>
  <c r="V236" i="1"/>
  <c r="AI236" i="1" s="1"/>
  <c r="V237" i="1"/>
  <c r="AI237" i="1" s="1"/>
  <c r="V238" i="1"/>
  <c r="AI238" i="1" s="1"/>
  <c r="V239" i="1"/>
  <c r="AI239" i="1" s="1"/>
  <c r="V240" i="1"/>
  <c r="AI240" i="1" s="1"/>
  <c r="V241" i="1"/>
  <c r="AI241" i="1" s="1"/>
  <c r="V242" i="1"/>
  <c r="AI242" i="1" s="1"/>
  <c r="V243" i="1"/>
  <c r="AI243" i="1" s="1"/>
  <c r="V244" i="1"/>
  <c r="AI244" i="1" s="1"/>
  <c r="V245" i="1"/>
  <c r="AI245" i="1" s="1"/>
  <c r="V246" i="1"/>
  <c r="AI246" i="1" s="1"/>
  <c r="V247" i="1"/>
  <c r="AI247" i="1" s="1"/>
  <c r="V248" i="1"/>
  <c r="AI248" i="1" s="1"/>
  <c r="V249" i="1"/>
  <c r="AI249" i="1" s="1"/>
  <c r="V250" i="1"/>
  <c r="AI250" i="1" s="1"/>
  <c r="V251" i="1"/>
  <c r="AI251" i="1" s="1"/>
  <c r="V252" i="1"/>
  <c r="AI252" i="1" s="1"/>
  <c r="V253" i="1"/>
  <c r="AI253" i="1" s="1"/>
  <c r="V254" i="1"/>
  <c r="AI254" i="1" s="1"/>
  <c r="V255" i="1"/>
  <c r="AI255" i="1" s="1"/>
  <c r="V256" i="1"/>
  <c r="AI256" i="1" s="1"/>
  <c r="V257" i="1"/>
  <c r="AI257" i="1" s="1"/>
  <c r="V258" i="1"/>
  <c r="AI258" i="1" s="1"/>
  <c r="V259" i="1"/>
  <c r="AI259" i="1" s="1"/>
  <c r="V260" i="1"/>
  <c r="AI260" i="1" s="1"/>
  <c r="V261" i="1"/>
  <c r="V262" i="1"/>
  <c r="V263" i="1"/>
  <c r="V264" i="1"/>
  <c r="V265" i="1"/>
  <c r="V266" i="1"/>
  <c r="AI266" i="1" s="1"/>
  <c r="V267" i="1"/>
  <c r="AI267" i="1" s="1"/>
  <c r="V268" i="1"/>
  <c r="AI268" i="1" s="1"/>
  <c r="V269" i="1"/>
  <c r="AI269" i="1" s="1"/>
  <c r="V270" i="1"/>
  <c r="AI270" i="1" s="1"/>
  <c r="V271" i="1"/>
  <c r="AI271" i="1" s="1"/>
  <c r="V272" i="1"/>
  <c r="AI272" i="1" s="1"/>
  <c r="V273" i="1"/>
  <c r="AI273" i="1" s="1"/>
  <c r="V274" i="1"/>
  <c r="AI274" i="1" s="1"/>
  <c r="V275" i="1"/>
  <c r="AI275" i="1" s="1"/>
  <c r="V276" i="1"/>
  <c r="AI276" i="1" s="1"/>
  <c r="V277" i="1"/>
  <c r="AI277" i="1" s="1"/>
  <c r="V278" i="1"/>
  <c r="AI278" i="1" s="1"/>
  <c r="V279" i="1"/>
  <c r="AI279" i="1" s="1"/>
  <c r="V280" i="1"/>
  <c r="AI280" i="1" s="1"/>
  <c r="V281" i="1"/>
  <c r="AI281" i="1" s="1"/>
  <c r="V282" i="1"/>
  <c r="AI282" i="1" s="1"/>
  <c r="V283" i="1"/>
  <c r="AI283" i="1" s="1"/>
  <c r="V284" i="1"/>
  <c r="AI284" i="1" s="1"/>
  <c r="V285" i="1"/>
  <c r="AI285" i="1" s="1"/>
  <c r="V286" i="1"/>
  <c r="AI286" i="1" s="1"/>
  <c r="V287" i="1"/>
  <c r="AI287" i="1" s="1"/>
  <c r="V288" i="1"/>
  <c r="AI288" i="1" s="1"/>
  <c r="V289" i="1"/>
  <c r="AI289" i="1" s="1"/>
  <c r="V290" i="1"/>
  <c r="AI290" i="1" s="1"/>
  <c r="V291" i="1"/>
  <c r="AI291" i="1" s="1"/>
  <c r="V292" i="1"/>
  <c r="AI292" i="1" s="1"/>
  <c r="V293" i="1"/>
  <c r="AI293" i="1" s="1"/>
  <c r="V294" i="1"/>
  <c r="AI294" i="1" s="1"/>
  <c r="V295" i="1"/>
  <c r="AI295" i="1" s="1"/>
  <c r="V296" i="1"/>
  <c r="AI296" i="1" s="1"/>
  <c r="V297" i="1"/>
  <c r="AI297" i="1" s="1"/>
  <c r="V298" i="1"/>
  <c r="AI298" i="1" s="1"/>
  <c r="V299" i="1"/>
  <c r="AI299" i="1" s="1"/>
  <c r="V300" i="1"/>
  <c r="AI300" i="1" s="1"/>
  <c r="V301" i="1"/>
  <c r="AI301" i="1" s="1"/>
  <c r="V302" i="1"/>
  <c r="AI302" i="1" s="1"/>
  <c r="V303" i="1"/>
  <c r="AI303" i="1" s="1"/>
  <c r="V304" i="1"/>
  <c r="AI304" i="1" s="1"/>
  <c r="V305" i="1"/>
  <c r="AI305" i="1" s="1"/>
  <c r="V306" i="1"/>
  <c r="AI306" i="1" s="1"/>
  <c r="V307" i="1"/>
  <c r="AI307" i="1" s="1"/>
  <c r="V308" i="1"/>
  <c r="AI308" i="1" s="1"/>
  <c r="V309" i="1"/>
  <c r="AI309" i="1" s="1"/>
  <c r="V310" i="1"/>
  <c r="AI310" i="1" s="1"/>
  <c r="V311" i="1"/>
  <c r="AI311" i="1" s="1"/>
  <c r="V312" i="1"/>
  <c r="AI312" i="1" s="1"/>
  <c r="V313" i="1"/>
  <c r="AI313" i="1" s="1"/>
  <c r="V314" i="1"/>
  <c r="AI314" i="1" s="1"/>
  <c r="V315" i="1"/>
  <c r="AI315" i="1" s="1"/>
  <c r="V316" i="1"/>
  <c r="AI316" i="1" s="1"/>
  <c r="V317" i="1"/>
  <c r="AI317" i="1" s="1"/>
  <c r="V318" i="1"/>
  <c r="AI318" i="1" s="1"/>
  <c r="V319" i="1"/>
  <c r="AI319" i="1" s="1"/>
  <c r="V320" i="1"/>
  <c r="AI320" i="1" s="1"/>
  <c r="V321" i="1"/>
  <c r="AI321" i="1" s="1"/>
  <c r="V322" i="1"/>
  <c r="AI322" i="1" s="1"/>
  <c r="V323" i="1"/>
  <c r="AI323" i="1" s="1"/>
  <c r="V324" i="1"/>
  <c r="AI324" i="1" s="1"/>
  <c r="V325" i="1"/>
  <c r="AI325" i="1" s="1"/>
  <c r="V326" i="1"/>
  <c r="AI326" i="1" s="1"/>
  <c r="V327" i="1"/>
  <c r="AI327" i="1" s="1"/>
  <c r="V328" i="1"/>
  <c r="AI328" i="1" s="1"/>
  <c r="V329" i="1"/>
  <c r="AI329" i="1" s="1"/>
  <c r="V330" i="1"/>
  <c r="AI330" i="1" s="1"/>
  <c r="V331" i="1"/>
  <c r="AI331" i="1" s="1"/>
  <c r="V332" i="1"/>
  <c r="AI332" i="1" s="1"/>
  <c r="V333" i="1"/>
  <c r="AI333" i="1" s="1"/>
  <c r="V334" i="1"/>
  <c r="AI334" i="1" s="1"/>
  <c r="V335" i="1"/>
  <c r="AI335" i="1" s="1"/>
  <c r="V336" i="1"/>
  <c r="AI336" i="1" s="1"/>
  <c r="V337" i="1"/>
  <c r="AI337" i="1" s="1"/>
  <c r="V338" i="1"/>
  <c r="AI338" i="1" s="1"/>
  <c r="V339" i="1"/>
  <c r="AI339" i="1" s="1"/>
  <c r="V340" i="1"/>
  <c r="AI340" i="1" s="1"/>
  <c r="V341" i="1"/>
  <c r="AI341" i="1" s="1"/>
  <c r="V342" i="1"/>
  <c r="AI342" i="1" s="1"/>
  <c r="V343" i="1"/>
  <c r="AI343" i="1" s="1"/>
  <c r="V344" i="1"/>
  <c r="AI344" i="1" s="1"/>
  <c r="V345" i="1"/>
  <c r="AI345" i="1" s="1"/>
  <c r="V346" i="1"/>
  <c r="AI346" i="1" s="1"/>
  <c r="V347" i="1"/>
  <c r="AI347" i="1" s="1"/>
  <c r="V348" i="1"/>
  <c r="AI348" i="1" s="1"/>
  <c r="V349" i="1"/>
  <c r="AI349" i="1" s="1"/>
  <c r="V350" i="1"/>
  <c r="AI350" i="1" s="1"/>
  <c r="V351" i="1"/>
  <c r="AI351" i="1" s="1"/>
  <c r="V352" i="1"/>
  <c r="AI352" i="1" s="1"/>
  <c r="V353" i="1"/>
  <c r="AI353" i="1" s="1"/>
  <c r="V354" i="1"/>
  <c r="AI354" i="1" s="1"/>
  <c r="V355" i="1"/>
  <c r="AI355" i="1" s="1"/>
  <c r="V356" i="1"/>
  <c r="AI356" i="1" s="1"/>
  <c r="V357" i="1"/>
  <c r="AI357" i="1" s="1"/>
  <c r="V358" i="1"/>
  <c r="AI358" i="1" s="1"/>
  <c r="V359" i="1"/>
  <c r="AI359" i="1" s="1"/>
  <c r="V360" i="1"/>
  <c r="AI360" i="1" s="1"/>
  <c r="V361" i="1"/>
  <c r="AI361" i="1" s="1"/>
  <c r="V362" i="1"/>
  <c r="AI362" i="1" s="1"/>
  <c r="V363" i="1"/>
  <c r="AI363" i="1" s="1"/>
  <c r="V364" i="1"/>
  <c r="AI364" i="1" s="1"/>
  <c r="V365" i="1"/>
  <c r="AI365" i="1" s="1"/>
  <c r="V366" i="1"/>
  <c r="AI366" i="1" s="1"/>
  <c r="V367" i="1"/>
  <c r="AI367" i="1" s="1"/>
  <c r="V368" i="1"/>
  <c r="AI368" i="1" s="1"/>
  <c r="V369" i="1"/>
  <c r="AI369" i="1" s="1"/>
  <c r="V370" i="1"/>
  <c r="AI370" i="1" s="1"/>
  <c r="V371" i="1"/>
  <c r="AI371" i="1" s="1"/>
  <c r="V372" i="1"/>
  <c r="AI372" i="1" s="1"/>
  <c r="V373" i="1"/>
  <c r="AI373" i="1" s="1"/>
  <c r="AA261" i="1"/>
  <c r="AA264" i="1" s="1"/>
  <c r="AA262" i="1"/>
  <c r="AA265" i="1" s="1"/>
  <c r="AA260" i="1"/>
  <c r="AA263" i="1" s="1"/>
  <c r="Z261" i="1"/>
  <c r="Z264" i="1" s="1"/>
  <c r="Z262" i="1"/>
  <c r="Z265" i="1" s="1"/>
  <c r="Z260" i="1"/>
  <c r="Z263" i="1" s="1"/>
  <c r="Y264" i="1"/>
  <c r="Y265" i="1"/>
  <c r="Y263" i="1"/>
  <c r="X261" i="1"/>
  <c r="X264" i="1" s="1"/>
  <c r="X262" i="1"/>
  <c r="X265" i="1" s="1"/>
  <c r="X260" i="1"/>
  <c r="X263" i="1" s="1"/>
  <c r="W264" i="1"/>
  <c r="W265" i="1"/>
  <c r="W263" i="1"/>
  <c r="T261" i="1"/>
  <c r="T264" i="1" s="1"/>
  <c r="T262" i="1"/>
  <c r="T265" i="1" s="1"/>
  <c r="T260" i="1"/>
  <c r="T263" i="1" s="1"/>
  <c r="S260" i="1"/>
  <c r="S263" i="1" s="1"/>
  <c r="S261" i="1"/>
  <c r="S264" i="1" s="1"/>
  <c r="S262" i="1"/>
  <c r="S265" i="1" s="1"/>
  <c r="R261" i="1"/>
  <c r="R264" i="1" s="1"/>
  <c r="R262" i="1"/>
  <c r="R260" i="1"/>
  <c r="Q261" i="1"/>
  <c r="Q264" i="1" s="1"/>
  <c r="AH264" i="1" s="1"/>
  <c r="Q262" i="1"/>
  <c r="Q265" i="1" s="1"/>
  <c r="AH265" i="1" s="1"/>
  <c r="Q260" i="1"/>
  <c r="Q263" i="1" s="1"/>
  <c r="AH263" i="1" s="1"/>
  <c r="P264" i="1"/>
  <c r="P265" i="1"/>
  <c r="P263" i="1"/>
  <c r="O261" i="1"/>
  <c r="O264" i="1" s="1"/>
  <c r="O262" i="1"/>
  <c r="O265" i="1" s="1"/>
  <c r="O260" i="1"/>
  <c r="O263" i="1" s="1"/>
  <c r="N265" i="1"/>
  <c r="N264" i="1"/>
  <c r="N263" i="1"/>
  <c r="M265" i="1"/>
  <c r="M264" i="1"/>
  <c r="M263" i="1"/>
  <c r="L265" i="1"/>
  <c r="L264" i="1"/>
  <c r="L263" i="1"/>
  <c r="K265" i="1"/>
  <c r="K264" i="1"/>
  <c r="K263" i="1"/>
  <c r="J265" i="1"/>
  <c r="J264" i="1"/>
  <c r="J263" i="1"/>
  <c r="I265" i="1"/>
  <c r="I264" i="1"/>
  <c r="I263" i="1"/>
  <c r="H265" i="1"/>
  <c r="H264" i="1"/>
  <c r="H263" i="1"/>
  <c r="G265" i="1"/>
  <c r="G264" i="1"/>
  <c r="G263" i="1"/>
  <c r="F265" i="1"/>
  <c r="F264" i="1"/>
  <c r="F263" i="1"/>
  <c r="E262" i="1"/>
  <c r="E265" i="1" s="1"/>
  <c r="E261" i="1"/>
  <c r="E264" i="1" s="1"/>
  <c r="E260" i="1"/>
  <c r="E263" i="1" s="1"/>
  <c r="D265" i="1"/>
  <c r="D264" i="1"/>
  <c r="D263" i="1"/>
  <c r="AI265" i="1" l="1"/>
  <c r="AI261" i="1"/>
  <c r="AI264" i="1"/>
  <c r="AJ264" i="1"/>
  <c r="AI263" i="1"/>
  <c r="AI262" i="1"/>
  <c r="AJ261" i="1"/>
  <c r="R263" i="1"/>
  <c r="AJ263" i="1" s="1"/>
  <c r="AJ260" i="1"/>
  <c r="R265" i="1"/>
  <c r="AJ265" i="1" s="1"/>
  <c r="AJ262" i="1"/>
  <c r="AG264" i="1"/>
  <c r="AF265" i="1"/>
  <c r="AF263" i="1"/>
  <c r="AF264" i="1"/>
  <c r="AF260" i="1"/>
  <c r="AH260" i="1"/>
  <c r="AF261" i="1"/>
  <c r="AG260" i="1"/>
  <c r="AF262" i="1"/>
  <c r="AG262" i="1"/>
  <c r="AG261" i="1"/>
  <c r="AH262" i="1"/>
  <c r="AH261" i="1"/>
  <c r="AG263" i="1" l="1"/>
  <c r="AG265" i="1"/>
</calcChain>
</file>

<file path=xl/sharedStrings.xml><?xml version="1.0" encoding="utf-8"?>
<sst xmlns="http://schemas.openxmlformats.org/spreadsheetml/2006/main" count="2194" uniqueCount="95">
  <si>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</si>
  <si>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</si>
  <si>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</si>
  <si>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</si>
  <si>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</si>
  <si>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</si>
  <si>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</si>
  <si>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</si>
  <si>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</si>
  <si>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</si>
  <si>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</si>
  <si>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</si>
  <si>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</si>
  <si>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</si>
  <si>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</si>
  <si>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</si>
  <si>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</si>
  <si>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</si>
  <si>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</si>
  <si>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</si>
  <si>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</si>
  <si>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</si>
  <si>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</si>
  <si>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</si>
  <si>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</si>
  <si>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</si>
  <si>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</si>
  <si>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</si>
  <si>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</si>
  <si>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</si>
  <si>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</si>
  <si>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</si>
  <si>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</si>
  <si>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</si>
  <si>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</si>
  <si>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</si>
  <si>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</si>
  <si>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</si>
  <si>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</si>
  <si>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</si>
  <si>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</si>
  <si>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</si>
  <si>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</si>
  <si>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</si>
  <si>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</si>
  <si>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</si>
  <si>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Housing_New</t>
  </si>
  <si>
    <t>Broder Food Category</t>
  </si>
  <si>
    <t>Clothing Footware</t>
  </si>
  <si>
    <t xml:space="preserve">Food </t>
  </si>
  <si>
    <t>Energy</t>
  </si>
  <si>
    <t>Luxury</t>
  </si>
  <si>
    <t>Row Labels</t>
  </si>
  <si>
    <t>Grand Total</t>
  </si>
  <si>
    <t xml:space="preserve">Average of Food </t>
  </si>
  <si>
    <t>Average of Energy</t>
  </si>
  <si>
    <t>Average of Transport and communication</t>
  </si>
  <si>
    <t>Average of Education</t>
  </si>
  <si>
    <t>Average of Health</t>
  </si>
  <si>
    <t>Category</t>
  </si>
  <si>
    <t>Total</t>
  </si>
  <si>
    <t xml:space="preserve"> Energy</t>
  </si>
  <si>
    <t xml:space="preserve"> Education</t>
  </si>
  <si>
    <t xml:space="preserve"> Transportation</t>
  </si>
  <si>
    <t xml:space="preserve"> Health</t>
  </si>
  <si>
    <t>Average of General index</t>
  </si>
  <si>
    <t>Base Year</t>
  </si>
  <si>
    <t>Index</t>
  </si>
  <si>
    <t>%Increase</t>
  </si>
  <si>
    <t>Absolute Changes</t>
  </si>
  <si>
    <t>Food Broader</t>
  </si>
  <si>
    <t xml:space="preserve"> Food </t>
  </si>
  <si>
    <t>Essential</t>
  </si>
  <si>
    <t>Life style</t>
  </si>
  <si>
    <t>Pre Or Post Covid</t>
  </si>
  <si>
    <t>Date</t>
  </si>
  <si>
    <t>Post Covid</t>
  </si>
  <si>
    <t>Pre Covid</t>
  </si>
  <si>
    <t xml:space="preserve">Average of  Food </t>
  </si>
  <si>
    <t>Average of Essential</t>
  </si>
  <si>
    <t>Average of Luxury</t>
  </si>
  <si>
    <t>Average of Life style</t>
  </si>
  <si>
    <t>% increase for covid</t>
  </si>
  <si>
    <t xml:space="preserve">  Food </t>
  </si>
  <si>
    <t xml:space="preserve"> Essential</t>
  </si>
  <si>
    <t xml:space="preserve"> Luxury</t>
  </si>
  <si>
    <t xml:space="preserve"> Life style</t>
  </si>
  <si>
    <t>Covid Marker</t>
  </si>
  <si>
    <t>general Index</t>
  </si>
  <si>
    <t>Crude Oil</t>
  </si>
  <si>
    <t>% inflation</t>
  </si>
  <si>
    <t>Correlation</t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</si>
  <si>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Category-wise Average CPI (Rural, Urban &amp; Combined)</t>
    </r>
  </si>
  <si>
    <r>
      <t xml:space="preserve">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Percentage Contribution of CPI Categories by Region</t>
    </r>
  </si>
  <si>
    <t>Month2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</si>
</sst>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131619"/>
      <name val="Arial"/>
      <family val="2"/>
    </font>
    <font>
      <sz val="11"/>
      <color theme="5" tint="-0.249977111117893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/>
  </cellStyleXfs>
  <cellXfs count="41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10" xfId="0" applyBorder="1"/>
    <xf numFmtId="0" fontId="19" fillId="0" borderId="0" xfId="0" applyFont="1"/>
    <xf numFmtId="0" fontId="16" fillId="0" borderId="0" xfId="0" applyFont="1"/>
    <xf numFmtId="17" fontId="16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5" borderId="0" xfId="0" applyFill="1" applyAlignment="1">
      <alignment horizontal="left"/>
    </xf>
    <xf numFmtId="0" fontId="0" fillId="35" borderId="0" xfId="0" applyFill="1"/>
    <xf numFmtId="0" fontId="16" fillId="35" borderId="10" xfId="0" applyFont="1" applyFill="1" applyBorder="1" applyAlignment="1">
      <alignment horizontal="left"/>
    </xf>
    <xf numFmtId="0" fontId="16" fillId="36" borderId="10" xfId="0" applyFont="1" applyFill="1" applyBorder="1" applyAlignment="1">
      <alignment horizontal="left"/>
    </xf>
    <xf numFmtId="0" fontId="16" fillId="37" borderId="10" xfId="0" applyFont="1" applyFill="1" applyBorder="1"/>
    <xf numFmtId="0" fontId="16" fillId="39" borderId="0" xfId="0" applyFont="1" applyFill="1"/>
    <xf numFmtId="0" fontId="16" fillId="36" borderId="10" xfId="0" applyFont="1" applyFill="1" applyBorder="1"/>
    <xf numFmtId="0" fontId="0" fillId="36" borderId="10" xfId="0" applyFill="1" applyBorder="1"/>
    <xf numFmtId="0" fontId="0" fillId="0" borderId="14" xfId="0" applyBorder="1" applyAlignment="1">
      <alignment horizontal="left"/>
    </xf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6" xfId="0" applyBorder="1" applyAlignment="1">
      <alignment horizontal="left"/>
    </xf>
    <xf numFmtId="0" fontId="16" fillId="35" borderId="0" xfId="0" applyFont="1" applyFill="1"/>
    <xf numFmtId="0" fontId="0" fillId="34" borderId="10" xfId="0" applyFill="1" applyBorder="1"/>
    <xf numFmtId="0" fontId="16" fillId="36" borderId="17" xfId="0" applyFont="1" applyFill="1" applyBorder="1"/>
    <xf numFmtId="0" fontId="0" fillId="36" borderId="17" xfId="0" applyFill="1" applyBorder="1"/>
    <xf numFmtId="0" fontId="16" fillId="35" borderId="10" xfId="0" applyFont="1" applyFill="1" applyBorder="1"/>
    <xf numFmtId="0" fontId="16" fillId="38" borderId="10" xfId="0" applyFont="1" applyFill="1" applyBorder="1"/>
    <xf numFmtId="2" fontId="22" fillId="40" borderId="0" xfId="43" applyNumberFormat="1" applyFont="1" applyFill="1" applyAlignment="1">
      <alignment horizontal="right"/>
    </xf>
    <xf numFmtId="0" fontId="0" fillId="40" borderId="10" xfId="0" applyFill="1" applyBorder="1"/>
    <xf numFmtId="0" fontId="0" fillId="41" borderId="10" xfId="0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59" xfId="43" xr:uid="{7714878C-C684-4EA6-A623-999DC2B3C0E2}"/>
    <cellStyle name="Normal 4" xfId="42" xr:uid="{EE928D7C-FBF0-4223-87DD-558361681F4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31619"/>
        <name val="Arial"/>
        <family val="2"/>
        <scheme val="none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Sector Wise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'Q1'!$J$17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'Q1'!$K$11:$M$11</c:f>
              <c:strCache>
                <c:ptCount val="3"/>
                <c:pt idx="0">
                  <c:v>Rural</c:v>
                </c:pt>
                <c:pt idx="1">
                  <c:v>Rural+Urban</c:v>
                </c:pt>
                <c:pt idx="2">
                  <c:v>Urban</c:v>
                </c:pt>
              </c:strCache>
            </c:strRef>
          </c:cat>
          <c:val>
            <c:numRef>
              <c:f>'Q1'!$K$17:$M$17</c:f>
              <c:numCache>
                <c:formatCode>General</c:formatCode>
                <c:ptCount val="3"/>
                <c:pt idx="0">
                  <c:v>3011.0000000000009</c:v>
                </c:pt>
                <c:pt idx="1">
                  <c:v>3017.3</c:v>
                </c:pt>
                <c:pt idx="2">
                  <c:v>3035.9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F-4F1D-A249-8788ABC47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398527"/>
        <c:axId val="91399007"/>
      </c:barChart>
      <c:catAx>
        <c:axId val="9139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9007"/>
        <c:crosses val="autoZero"/>
        <c:auto val="1"/>
        <c:lblAlgn val="ctr"/>
        <c:lblOffset val="100"/>
        <c:noMultiLvlLbl val="0"/>
      </c:catAx>
      <c:valAx>
        <c:axId val="913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'Q1'!$N$21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85-4C28-8408-730524E088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85-4C28-8408-730524E0882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85-4C28-8408-730524E0882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85-4C28-8408-730524E0882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85-4C28-8408-730524E088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'Q1'!$J$22:$J$26</c:f>
              <c:strCache>
                <c:ptCount val="5"/>
                <c:pt idx="0">
                  <c:v>Food </c:v>
                </c:pt>
                <c:pt idx="1">
                  <c:v> Energy</c:v>
                </c:pt>
                <c:pt idx="2">
                  <c:v> Transportation</c:v>
                </c:pt>
                <c:pt idx="3">
                  <c:v> Education</c:v>
                </c:pt>
                <c:pt idx="4">
                  <c:v> Health</c:v>
                </c:pt>
              </c:strCache>
            </c:strRef>
          </c:cat>
          <c:val>
            <c:numRef>
              <c:f>'Q1'!$N$22:$N$26</c:f>
              <c:numCache>
                <c:formatCode>General</c:formatCode>
                <c:ptCount val="5"/>
                <c:pt idx="0">
                  <c:v>76.08</c:v>
                </c:pt>
                <c:pt idx="1">
                  <c:v>6.06</c:v>
                </c:pt>
                <c:pt idx="2">
                  <c:v>5.64</c:v>
                </c:pt>
                <c:pt idx="3">
                  <c:v>5.99</c:v>
                </c:pt>
                <c:pt idx="4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C-4314-A4C0-3C3B277F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'Q1'!$O$21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39-48F8-99EC-09B5B2AE12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39-48F8-99EC-09B5B2AE12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539-48F8-99EC-09B5B2AE125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39-48F8-99EC-09B5B2AE125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539-48F8-99EC-09B5B2AE12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'Q1'!$J$22:$J$26</c:f>
              <c:strCache>
                <c:ptCount val="5"/>
                <c:pt idx="0">
                  <c:v>Food </c:v>
                </c:pt>
                <c:pt idx="1">
                  <c:v> Energy</c:v>
                </c:pt>
                <c:pt idx="2">
                  <c:v> Transportation</c:v>
                </c:pt>
                <c:pt idx="3">
                  <c:v> Education</c:v>
                </c:pt>
                <c:pt idx="4">
                  <c:v> Health</c:v>
                </c:pt>
              </c:strCache>
            </c:strRef>
          </c:cat>
          <c:val>
            <c:numRef>
              <c:f>'Q1'!$O$22:$O$26</c:f>
              <c:numCache>
                <c:formatCode>General</c:formatCode>
                <c:ptCount val="5"/>
                <c:pt idx="0">
                  <c:v>76.459999999999994</c:v>
                </c:pt>
                <c:pt idx="1">
                  <c:v>6.06</c:v>
                </c:pt>
                <c:pt idx="2">
                  <c:v>5.46</c:v>
                </c:pt>
                <c:pt idx="3">
                  <c:v>5.87</c:v>
                </c:pt>
                <c:pt idx="4">
                  <c:v>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43E8-BBAC-50247E05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'Q1'!$P$21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CC-41FD-A4A6-FB400604B89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CC-41FD-A4A6-FB400604B89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CC-41FD-A4A6-FB400604B89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CC-41FD-A4A6-FB400604B89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2CC-41FD-A4A6-FB400604B8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'Q1'!$J$22:$J$26</c:f>
              <c:strCache>
                <c:ptCount val="5"/>
                <c:pt idx="0">
                  <c:v>Food </c:v>
                </c:pt>
                <c:pt idx="1">
                  <c:v> Energy</c:v>
                </c:pt>
                <c:pt idx="2">
                  <c:v> Transportation</c:v>
                </c:pt>
                <c:pt idx="3">
                  <c:v> Education</c:v>
                </c:pt>
                <c:pt idx="4">
                  <c:v> Health</c:v>
                </c:pt>
              </c:strCache>
            </c:strRef>
          </c:cat>
          <c:val>
            <c:numRef>
              <c:f>'Q1'!$P$22:$P$26</c:f>
              <c:numCache>
                <c:formatCode>General</c:formatCode>
                <c:ptCount val="5"/>
                <c:pt idx="0">
                  <c:v>76.92</c:v>
                </c:pt>
                <c:pt idx="1">
                  <c:v>6.04</c:v>
                </c:pt>
                <c:pt idx="2">
                  <c:v>5.28</c:v>
                </c:pt>
                <c:pt idx="3">
                  <c:v>5.76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A-4E8D-927F-5B2711BB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Y-o-Y CPI Increment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'Q2'!$F$3</c:f>
              <c:strCache>
                <c:ptCount val="1"/>
                <c:pt idx="0">
                  <c:v>%Increase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'Q2'!$D$4:$D$9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'Q2'!$F$4:$F$9</c:f>
              <c:numCache>
                <c:formatCode>General</c:formatCode>
                <c:ptCount val="6"/>
                <c:pt idx="0">
                  <c:v>3.9513108614232477</c:v>
                </c:pt>
                <c:pt idx="1">
                  <c:v>3.8961038961039161</c:v>
                </c:pt>
                <c:pt idx="2">
                  <c:v>5.8487021857923125</c:v>
                </c:pt>
                <c:pt idx="3">
                  <c:v>5.7948262917207023</c:v>
                </c:pt>
                <c:pt idx="4">
                  <c:v>6.621935483870967</c:v>
                </c:pt>
                <c:pt idx="5">
                  <c:v>3.1774615161196631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D-4E50-9E44-2DFC3A82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5839"/>
        <c:axId val="6938159"/>
      </c:lineChart>
      <c:catAx>
        <c:axId val="694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159"/>
        <c:crosses val="autoZero"/>
        <c:auto val="1"/>
        <c:lblAlgn val="ctr"/>
        <c:lblOffset val="100"/>
        <c:noMultiLvlLbl val="0"/>
      </c:catAx>
      <c:valAx>
        <c:axId val="69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Absolute Change Over 12 Month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'Q3'!$A$20:$A$32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'Q3'!$D$20:$D$32</c:f>
              <c:numCache>
                <c:formatCode>General</c:formatCode>
                <c:ptCount val="13"/>
                <c:pt idx="0">
                  <c:v>19.599999999999994</c:v>
                </c:pt>
                <c:pt idx="1">
                  <c:v>2.6999999999999886</c:v>
                </c:pt>
                <c:pt idx="2">
                  <c:v>10.799999999999983</c:v>
                </c:pt>
                <c:pt idx="3">
                  <c:v>14.599999999999994</c:v>
                </c:pt>
                <c:pt idx="4">
                  <c:v>32.400000000000006</c:v>
                </c:pt>
                <c:pt idx="5">
                  <c:v>1.1999999999999886</c:v>
                </c:pt>
                <c:pt idx="6">
                  <c:v>13.900000000000006</c:v>
                </c:pt>
                <c:pt idx="7">
                  <c:v>10.900000000000006</c:v>
                </c:pt>
                <c:pt idx="8">
                  <c:v>3</c:v>
                </c:pt>
                <c:pt idx="9">
                  <c:v>33.099999999999994</c:v>
                </c:pt>
                <c:pt idx="10">
                  <c:v>6.3000000000000114</c:v>
                </c:pt>
                <c:pt idx="11">
                  <c:v>11.699999999999989</c:v>
                </c:pt>
                <c:pt idx="12">
                  <c:v>5.7999999999999829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7-4F8E-B454-8EF8B33E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2128344752"/>
        <c:axId val="2128345712"/>
      </c:barChart>
      <c:catAx>
        <c:axId val="212834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45712"/>
        <c:crosses val="autoZero"/>
        <c:auto val="1"/>
        <c:lblAlgn val="ctr"/>
        <c:lblOffset val="100"/>
        <c:noMultiLvlLbl val="0"/>
      </c:catAx>
      <c:valAx>
        <c:axId val="212834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4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Cpi &amp; Monthy Inflation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'Q3'!$B$37:$B$49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'Q3'!$C$37:$C$49</c:f>
              <c:numCache>
                <c:formatCode>General</c:formatCode>
                <c:ptCount val="13"/>
                <c:pt idx="0">
                  <c:v>2238.9000000000005</c:v>
                </c:pt>
                <c:pt idx="1">
                  <c:v>2261.9</c:v>
                </c:pt>
                <c:pt idx="2">
                  <c:v>2266.3000000000002</c:v>
                </c:pt>
                <c:pt idx="3">
                  <c:v>2269.2000000000003</c:v>
                </c:pt>
                <c:pt idx="4">
                  <c:v>2280.9</c:v>
                </c:pt>
                <c:pt idx="5">
                  <c:v>2297.3000000000002</c:v>
                </c:pt>
                <c:pt idx="6">
                  <c:v>2296.8000000000002</c:v>
                </c:pt>
                <c:pt idx="7">
                  <c:v>2283.4</c:v>
                </c:pt>
                <c:pt idx="8">
                  <c:v>2292.6999999999998</c:v>
                </c:pt>
                <c:pt idx="9">
                  <c:v>2279.1</c:v>
                </c:pt>
                <c:pt idx="10">
                  <c:v>2279.1999999999998</c:v>
                </c:pt>
                <c:pt idx="11">
                  <c:v>2289.6000000000004</c:v>
                </c:pt>
                <c:pt idx="12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6-4BF7-9926-D2FE52BA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520976"/>
        <c:axId val="1439521936"/>
      </c:barChart>
      <c:lineChart>
        <c:grouping val="standard"/>
        <c:varyColors val="0"/>
        <c:ser>
          <c:idx val="1"/>
          <c:order val="1"/>
          <c:tx>
            <c:v>% inflation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'Q3'!$D$36:$D$49</c:f>
              <c:numCache>
                <c:formatCode>General</c:formatCode>
                <c:ptCount val="14"/>
                <c:pt idx="0">
                  <c:v>0</c:v>
                </c:pt>
                <c:pt idx="2">
                  <c:v>1.0272901871454525</c:v>
                </c:pt>
                <c:pt idx="3">
                  <c:v>0.19452672531942572</c:v>
                </c:pt>
                <c:pt idx="4">
                  <c:v>0.12796187618585758</c:v>
                </c:pt>
                <c:pt idx="5">
                  <c:v>0.51560021152828384</c:v>
                </c:pt>
                <c:pt idx="6">
                  <c:v>0.7190144241308295</c:v>
                </c:pt>
                <c:pt idx="7">
                  <c:v>-2.1764680276846731E-2</c:v>
                </c:pt>
                <c:pt idx="8">
                  <c:v>-0.58342041100662179</c:v>
                </c:pt>
                <c:pt idx="9">
                  <c:v>0.40728737847068963</c:v>
                </c:pt>
                <c:pt idx="10">
                  <c:v>-0.59318707201116194</c:v>
                </c:pt>
                <c:pt idx="11">
                  <c:v>4.3876968978943031E-3</c:v>
                </c:pt>
                <c:pt idx="12">
                  <c:v>0.45630045630048033</c:v>
                </c:pt>
                <c:pt idx="13">
                  <c:v>0.75559049615652185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8-4577-A0A5-BEAE63FAD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013072"/>
        <c:axId val="1615014992"/>
      </c:lineChart>
      <c:catAx>
        <c:axId val="1439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21936"/>
        <c:crosses val="autoZero"/>
        <c:auto val="1"/>
        <c:lblAlgn val="ctr"/>
        <c:lblOffset val="100"/>
        <c:noMultiLvlLbl val="0"/>
      </c:catAx>
      <c:valAx>
        <c:axId val="14395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20976"/>
        <c:crosses val="autoZero"/>
        <c:crossBetween val="between"/>
      </c:valAx>
      <c:valAx>
        <c:axId val="1615014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13072"/>
        <c:crosses val="max"/>
        <c:crossBetween val="between"/>
      </c:valAx>
      <c:catAx>
        <c:axId val="161501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615014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 And Post Covid CPI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'Q4'!$O$8</c:f>
              <c:strCache>
                <c:ptCount val="1"/>
                <c:pt idx="0">
                  <c:v>Post 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'Q4'!$N$9:$N$13</c:f>
              <c:strCache>
                <c:ptCount val="5"/>
                <c:pt idx="0">
                  <c:v>  Food </c:v>
                </c:pt>
                <c:pt idx="1">
                  <c:v> Health</c:v>
                </c:pt>
                <c:pt idx="2">
                  <c:v> Essential</c:v>
                </c:pt>
                <c:pt idx="3">
                  <c:v> Luxury</c:v>
                </c:pt>
                <c:pt idx="4">
                  <c:v> Life style</c:v>
                </c:pt>
              </c:strCache>
            </c:strRef>
          </c:cat>
          <c:val>
            <c:numRef>
              <c:f>'Q4'!$O$9:$O$13</c:f>
              <c:numCache>
                <c:formatCode>General</c:formatCode>
                <c:ptCount val="5"/>
                <c:pt idx="0">
                  <c:v>2151.1561965812002</c:v>
                </c:pt>
                <c:pt idx="1">
                  <c:v>167.7735042735043</c:v>
                </c:pt>
                <c:pt idx="2">
                  <c:v>487.84551282051297</c:v>
                </c:pt>
                <c:pt idx="3">
                  <c:v>349.76282051282055</c:v>
                </c:pt>
                <c:pt idx="4">
                  <c:v>1125.1555555555553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6A1-92BC-D6844549AE23}"/>
            </c:ext>
          </c:extLst>
        </c:ser>
        <c:ser>
          <c:idx val="1"/>
          <c:order val="1"/>
          <c:tx>
            <c:strRef>
              <c:f>'Q4'!$P$8</c:f>
              <c:strCache>
                <c:ptCount val="1"/>
                <c:pt idx="0">
                  <c:v>Pre Covid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'Q4'!$N$9:$N$13</c:f>
              <c:strCache>
                <c:ptCount val="5"/>
                <c:pt idx="0">
                  <c:v>  Food </c:v>
                </c:pt>
                <c:pt idx="1">
                  <c:v> Health</c:v>
                </c:pt>
                <c:pt idx="2">
                  <c:v> Essential</c:v>
                </c:pt>
                <c:pt idx="3">
                  <c:v> Luxury</c:v>
                </c:pt>
                <c:pt idx="4">
                  <c:v> Life style</c:v>
                </c:pt>
              </c:strCache>
            </c:strRef>
          </c:cat>
          <c:val>
            <c:numRef>
              <c:f>'Q4'!$P$9:$P$13</c:f>
              <c:numCache>
                <c:formatCode>General</c:formatCode>
                <c:ptCount val="5"/>
                <c:pt idx="0">
                  <c:v>1677.2866666666666</c:v>
                </c:pt>
                <c:pt idx="1">
                  <c:v>125.23568627450986</c:v>
                </c:pt>
                <c:pt idx="2">
                  <c:v>383.17686274509776</c:v>
                </c:pt>
                <c:pt idx="3">
                  <c:v>262.13803921568615</c:v>
                </c:pt>
                <c:pt idx="4">
                  <c:v>873.46313725490177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9-46A1-92BC-D6844549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0150384"/>
        <c:axId val="1510157104"/>
      </c:barChart>
      <c:catAx>
        <c:axId val="15101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57104"/>
        <c:crosses val="autoZero"/>
        <c:auto val="1"/>
        <c:lblAlgn val="ctr"/>
        <c:lblOffset val="100"/>
        <c:noMultiLvlLbl val="0"/>
      </c:catAx>
      <c:valAx>
        <c:axId val="15101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5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'Q4'!$Q$8</c:f>
              <c:strCache>
                <c:ptCount val="1"/>
                <c:pt idx="0">
                  <c:v>% increase for 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'Q4'!$N$9:$N$13</c:f>
              <c:strCache>
                <c:ptCount val="5"/>
                <c:pt idx="0">
                  <c:v>  Food </c:v>
                </c:pt>
                <c:pt idx="1">
                  <c:v> Health</c:v>
                </c:pt>
                <c:pt idx="2">
                  <c:v> Essential</c:v>
                </c:pt>
                <c:pt idx="3">
                  <c:v> Luxury</c:v>
                </c:pt>
                <c:pt idx="4">
                  <c:v> Life style</c:v>
                </c:pt>
              </c:strCache>
            </c:strRef>
          </c:cat>
          <c:val>
            <c:numRef>
              <c:f>'Q4'!$Q$9:$Q$13</c:f>
              <c:numCache>
                <c:formatCode>General</c:formatCode>
                <c:ptCount val="5"/>
                <c:pt idx="0">
                  <c:v>28.252149100801709</c:v>
                </c:pt>
                <c:pt idx="1">
                  <c:v>33.9662114405265</c:v>
                </c:pt>
                <c:pt idx="2">
                  <c:v>27.31601520132606</c:v>
                </c:pt>
                <c:pt idx="3">
                  <c:v>33.426961443408473</c:v>
                </c:pt>
                <c:pt idx="4">
                  <c:v>28.81545969892516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B-43BB-BDE1-B7DC8A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7245136"/>
        <c:axId val="1627245616"/>
      </c:barChart>
      <c:catAx>
        <c:axId val="16272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45616"/>
        <c:crosses val="autoZero"/>
        <c:auto val="1"/>
        <c:lblAlgn val="ctr"/>
        <c:lblOffset val="100"/>
        <c:noMultiLvlLbl val="0"/>
      </c:catAx>
      <c:valAx>
        <c:axId val="16272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4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Impact</a:t>
            </a:r>
            <a:r>
              <a:rPr lang="en-IN" baseline="0"/>
              <a:t> Of Covid On CPI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Covid Marker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'Q4'!$L$2:$L$373</c:f>
              <c:numCache>
                <c:formatCode>General</c:formatCode>
                <c:ptCount val="3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179.8</c:v>
                </c:pt>
                <c:pt idx="256">
                  <c:v>179.8</c:v>
                </c:pt>
                <c:pt idx="257">
                  <c:v>179.8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7-488C-BDD1-5710BBDFB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737632"/>
        <c:axId val="1616740512"/>
      </c:barChart>
      <c:lineChart>
        <c:grouping val="standard"/>
        <c:varyColors val="0"/>
        <c:ser>
          <c:idx val="0"/>
          <c:order val="0"/>
          <c:tx>
            <c:strRef>
              <c:f>'Q4'!$K$1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'Q4'!$I$2:$I$373</c:f>
              <c:numCache>
                <c:formatCode>m/d/yyyy</c:formatCode>
                <c:ptCount val="372"/>
                <c:pt idx="0">
                  <c:v>41275</c:v>
                </c:pt>
                <c:pt idx="1">
                  <c:v>41275</c:v>
                </c:pt>
                <c:pt idx="2">
                  <c:v>41275</c:v>
                </c:pt>
                <c:pt idx="3">
                  <c:v>41306</c:v>
                </c:pt>
                <c:pt idx="4">
                  <c:v>41306</c:v>
                </c:pt>
                <c:pt idx="5">
                  <c:v>41306</c:v>
                </c:pt>
                <c:pt idx="6">
                  <c:v>41334</c:v>
                </c:pt>
                <c:pt idx="7">
                  <c:v>41334</c:v>
                </c:pt>
                <c:pt idx="8">
                  <c:v>41334</c:v>
                </c:pt>
                <c:pt idx="9">
                  <c:v>41365</c:v>
                </c:pt>
                <c:pt idx="10">
                  <c:v>41365</c:v>
                </c:pt>
                <c:pt idx="11">
                  <c:v>41365</c:v>
                </c:pt>
                <c:pt idx="12">
                  <c:v>41395</c:v>
                </c:pt>
                <c:pt idx="13">
                  <c:v>41395</c:v>
                </c:pt>
                <c:pt idx="14">
                  <c:v>41395</c:v>
                </c:pt>
                <c:pt idx="15">
                  <c:v>41426</c:v>
                </c:pt>
                <c:pt idx="16">
                  <c:v>41426</c:v>
                </c:pt>
                <c:pt idx="17">
                  <c:v>41426</c:v>
                </c:pt>
                <c:pt idx="18">
                  <c:v>41456</c:v>
                </c:pt>
                <c:pt idx="19">
                  <c:v>41456</c:v>
                </c:pt>
                <c:pt idx="20">
                  <c:v>41456</c:v>
                </c:pt>
                <c:pt idx="21">
                  <c:v>41487</c:v>
                </c:pt>
                <c:pt idx="22">
                  <c:v>41487</c:v>
                </c:pt>
                <c:pt idx="23">
                  <c:v>41487</c:v>
                </c:pt>
                <c:pt idx="24">
                  <c:v>41518</c:v>
                </c:pt>
                <c:pt idx="25">
                  <c:v>41518</c:v>
                </c:pt>
                <c:pt idx="26">
                  <c:v>41518</c:v>
                </c:pt>
                <c:pt idx="27">
                  <c:v>41548</c:v>
                </c:pt>
                <c:pt idx="28">
                  <c:v>41548</c:v>
                </c:pt>
                <c:pt idx="29">
                  <c:v>41548</c:v>
                </c:pt>
                <c:pt idx="30">
                  <c:v>41579</c:v>
                </c:pt>
                <c:pt idx="31">
                  <c:v>41579</c:v>
                </c:pt>
                <c:pt idx="32">
                  <c:v>41579</c:v>
                </c:pt>
                <c:pt idx="33">
                  <c:v>41609</c:v>
                </c:pt>
                <c:pt idx="34">
                  <c:v>41609</c:v>
                </c:pt>
                <c:pt idx="35">
                  <c:v>41609</c:v>
                </c:pt>
                <c:pt idx="36">
                  <c:v>41640</c:v>
                </c:pt>
                <c:pt idx="37">
                  <c:v>41640</c:v>
                </c:pt>
                <c:pt idx="38">
                  <c:v>41640</c:v>
                </c:pt>
                <c:pt idx="39">
                  <c:v>41671</c:v>
                </c:pt>
                <c:pt idx="40">
                  <c:v>41671</c:v>
                </c:pt>
                <c:pt idx="41">
                  <c:v>41671</c:v>
                </c:pt>
                <c:pt idx="42">
                  <c:v>41699</c:v>
                </c:pt>
                <c:pt idx="43">
                  <c:v>41699</c:v>
                </c:pt>
                <c:pt idx="44">
                  <c:v>41699</c:v>
                </c:pt>
                <c:pt idx="45">
                  <c:v>41730</c:v>
                </c:pt>
                <c:pt idx="46">
                  <c:v>41730</c:v>
                </c:pt>
                <c:pt idx="47">
                  <c:v>41730</c:v>
                </c:pt>
                <c:pt idx="48">
                  <c:v>41760</c:v>
                </c:pt>
                <c:pt idx="49">
                  <c:v>41760</c:v>
                </c:pt>
                <c:pt idx="50">
                  <c:v>41760</c:v>
                </c:pt>
                <c:pt idx="51">
                  <c:v>41791</c:v>
                </c:pt>
                <c:pt idx="52">
                  <c:v>41791</c:v>
                </c:pt>
                <c:pt idx="53">
                  <c:v>41791</c:v>
                </c:pt>
                <c:pt idx="54">
                  <c:v>41821</c:v>
                </c:pt>
                <c:pt idx="55">
                  <c:v>41821</c:v>
                </c:pt>
                <c:pt idx="56">
                  <c:v>41821</c:v>
                </c:pt>
                <c:pt idx="57">
                  <c:v>41852</c:v>
                </c:pt>
                <c:pt idx="58">
                  <c:v>41852</c:v>
                </c:pt>
                <c:pt idx="59">
                  <c:v>41852</c:v>
                </c:pt>
                <c:pt idx="60">
                  <c:v>41883</c:v>
                </c:pt>
                <c:pt idx="61">
                  <c:v>41883</c:v>
                </c:pt>
                <c:pt idx="62">
                  <c:v>41883</c:v>
                </c:pt>
                <c:pt idx="63">
                  <c:v>41913</c:v>
                </c:pt>
                <c:pt idx="64">
                  <c:v>41913</c:v>
                </c:pt>
                <c:pt idx="65">
                  <c:v>41913</c:v>
                </c:pt>
                <c:pt idx="66">
                  <c:v>41944</c:v>
                </c:pt>
                <c:pt idx="67">
                  <c:v>41944</c:v>
                </c:pt>
                <c:pt idx="68">
                  <c:v>41944</c:v>
                </c:pt>
                <c:pt idx="69">
                  <c:v>41974</c:v>
                </c:pt>
                <c:pt idx="70">
                  <c:v>41974</c:v>
                </c:pt>
                <c:pt idx="71">
                  <c:v>41974</c:v>
                </c:pt>
                <c:pt idx="72">
                  <c:v>42005</c:v>
                </c:pt>
                <c:pt idx="73">
                  <c:v>42005</c:v>
                </c:pt>
                <c:pt idx="74">
                  <c:v>42005</c:v>
                </c:pt>
                <c:pt idx="75">
                  <c:v>42036</c:v>
                </c:pt>
                <c:pt idx="76">
                  <c:v>42036</c:v>
                </c:pt>
                <c:pt idx="77">
                  <c:v>42036</c:v>
                </c:pt>
                <c:pt idx="78">
                  <c:v>42064</c:v>
                </c:pt>
                <c:pt idx="79">
                  <c:v>42064</c:v>
                </c:pt>
                <c:pt idx="80">
                  <c:v>42064</c:v>
                </c:pt>
                <c:pt idx="81">
                  <c:v>42095</c:v>
                </c:pt>
                <c:pt idx="82">
                  <c:v>42095</c:v>
                </c:pt>
                <c:pt idx="83">
                  <c:v>42095</c:v>
                </c:pt>
                <c:pt idx="84">
                  <c:v>42125</c:v>
                </c:pt>
                <c:pt idx="85">
                  <c:v>42125</c:v>
                </c:pt>
                <c:pt idx="86">
                  <c:v>42125</c:v>
                </c:pt>
                <c:pt idx="87">
                  <c:v>42156</c:v>
                </c:pt>
                <c:pt idx="88">
                  <c:v>42156</c:v>
                </c:pt>
                <c:pt idx="89">
                  <c:v>42156</c:v>
                </c:pt>
                <c:pt idx="90">
                  <c:v>42186</c:v>
                </c:pt>
                <c:pt idx="91">
                  <c:v>42186</c:v>
                </c:pt>
                <c:pt idx="92">
                  <c:v>42186</c:v>
                </c:pt>
                <c:pt idx="93">
                  <c:v>42217</c:v>
                </c:pt>
                <c:pt idx="94">
                  <c:v>42217</c:v>
                </c:pt>
                <c:pt idx="95">
                  <c:v>42217</c:v>
                </c:pt>
                <c:pt idx="96">
                  <c:v>42248</c:v>
                </c:pt>
                <c:pt idx="97">
                  <c:v>42248</c:v>
                </c:pt>
                <c:pt idx="98">
                  <c:v>42248</c:v>
                </c:pt>
                <c:pt idx="99">
                  <c:v>42278</c:v>
                </c:pt>
                <c:pt idx="100">
                  <c:v>42278</c:v>
                </c:pt>
                <c:pt idx="101">
                  <c:v>42278</c:v>
                </c:pt>
                <c:pt idx="102">
                  <c:v>42309</c:v>
                </c:pt>
                <c:pt idx="103">
                  <c:v>42309</c:v>
                </c:pt>
                <c:pt idx="104">
                  <c:v>42309</c:v>
                </c:pt>
                <c:pt idx="105">
                  <c:v>42339</c:v>
                </c:pt>
                <c:pt idx="106">
                  <c:v>42339</c:v>
                </c:pt>
                <c:pt idx="107">
                  <c:v>42339</c:v>
                </c:pt>
                <c:pt idx="108">
                  <c:v>42370</c:v>
                </c:pt>
                <c:pt idx="109">
                  <c:v>42370</c:v>
                </c:pt>
                <c:pt idx="110">
                  <c:v>42370</c:v>
                </c:pt>
                <c:pt idx="111">
                  <c:v>42401</c:v>
                </c:pt>
                <c:pt idx="112">
                  <c:v>42401</c:v>
                </c:pt>
                <c:pt idx="113">
                  <c:v>42401</c:v>
                </c:pt>
                <c:pt idx="114">
                  <c:v>42430</c:v>
                </c:pt>
                <c:pt idx="115">
                  <c:v>42430</c:v>
                </c:pt>
                <c:pt idx="116">
                  <c:v>42430</c:v>
                </c:pt>
                <c:pt idx="117">
                  <c:v>42461</c:v>
                </c:pt>
                <c:pt idx="118">
                  <c:v>42461</c:v>
                </c:pt>
                <c:pt idx="119">
                  <c:v>42461</c:v>
                </c:pt>
                <c:pt idx="120">
                  <c:v>42491</c:v>
                </c:pt>
                <c:pt idx="121">
                  <c:v>42491</c:v>
                </c:pt>
                <c:pt idx="122">
                  <c:v>42491</c:v>
                </c:pt>
                <c:pt idx="123">
                  <c:v>42522</c:v>
                </c:pt>
                <c:pt idx="124">
                  <c:v>42522</c:v>
                </c:pt>
                <c:pt idx="125">
                  <c:v>42522</c:v>
                </c:pt>
                <c:pt idx="126">
                  <c:v>42552</c:v>
                </c:pt>
                <c:pt idx="127">
                  <c:v>42552</c:v>
                </c:pt>
                <c:pt idx="128">
                  <c:v>42552</c:v>
                </c:pt>
                <c:pt idx="129">
                  <c:v>42583</c:v>
                </c:pt>
                <c:pt idx="130">
                  <c:v>42583</c:v>
                </c:pt>
                <c:pt idx="131">
                  <c:v>42583</c:v>
                </c:pt>
                <c:pt idx="132">
                  <c:v>42614</c:v>
                </c:pt>
                <c:pt idx="133">
                  <c:v>42614</c:v>
                </c:pt>
                <c:pt idx="134">
                  <c:v>42614</c:v>
                </c:pt>
                <c:pt idx="135">
                  <c:v>42644</c:v>
                </c:pt>
                <c:pt idx="136">
                  <c:v>42644</c:v>
                </c:pt>
                <c:pt idx="137">
                  <c:v>42644</c:v>
                </c:pt>
                <c:pt idx="138">
                  <c:v>42675</c:v>
                </c:pt>
                <c:pt idx="139">
                  <c:v>42675</c:v>
                </c:pt>
                <c:pt idx="140">
                  <c:v>42675</c:v>
                </c:pt>
                <c:pt idx="141">
                  <c:v>42705</c:v>
                </c:pt>
                <c:pt idx="142">
                  <c:v>42705</c:v>
                </c:pt>
                <c:pt idx="143">
                  <c:v>42705</c:v>
                </c:pt>
                <c:pt idx="144">
                  <c:v>42736</c:v>
                </c:pt>
                <c:pt idx="145">
                  <c:v>42736</c:v>
                </c:pt>
                <c:pt idx="146">
                  <c:v>42736</c:v>
                </c:pt>
                <c:pt idx="147">
                  <c:v>42767</c:v>
                </c:pt>
                <c:pt idx="148">
                  <c:v>42767</c:v>
                </c:pt>
                <c:pt idx="149">
                  <c:v>42767</c:v>
                </c:pt>
                <c:pt idx="150">
                  <c:v>42795</c:v>
                </c:pt>
                <c:pt idx="151">
                  <c:v>42795</c:v>
                </c:pt>
                <c:pt idx="152">
                  <c:v>42795</c:v>
                </c:pt>
                <c:pt idx="153">
                  <c:v>42826</c:v>
                </c:pt>
                <c:pt idx="154">
                  <c:v>42826</c:v>
                </c:pt>
                <c:pt idx="155">
                  <c:v>42826</c:v>
                </c:pt>
                <c:pt idx="156">
                  <c:v>42856</c:v>
                </c:pt>
                <c:pt idx="157">
                  <c:v>42856</c:v>
                </c:pt>
                <c:pt idx="158">
                  <c:v>42856</c:v>
                </c:pt>
                <c:pt idx="159">
                  <c:v>42887</c:v>
                </c:pt>
                <c:pt idx="160">
                  <c:v>42887</c:v>
                </c:pt>
                <c:pt idx="161">
                  <c:v>42887</c:v>
                </c:pt>
                <c:pt idx="162">
                  <c:v>42917</c:v>
                </c:pt>
                <c:pt idx="163">
                  <c:v>42917</c:v>
                </c:pt>
                <c:pt idx="164">
                  <c:v>42917</c:v>
                </c:pt>
                <c:pt idx="165">
                  <c:v>42948</c:v>
                </c:pt>
                <c:pt idx="166">
                  <c:v>42948</c:v>
                </c:pt>
                <c:pt idx="167">
                  <c:v>42948</c:v>
                </c:pt>
                <c:pt idx="168">
                  <c:v>42979</c:v>
                </c:pt>
                <c:pt idx="169">
                  <c:v>42979</c:v>
                </c:pt>
                <c:pt idx="170">
                  <c:v>42979</c:v>
                </c:pt>
                <c:pt idx="171">
                  <c:v>43009</c:v>
                </c:pt>
                <c:pt idx="172">
                  <c:v>43009</c:v>
                </c:pt>
                <c:pt idx="173">
                  <c:v>43009</c:v>
                </c:pt>
                <c:pt idx="174">
                  <c:v>43040</c:v>
                </c:pt>
                <c:pt idx="175">
                  <c:v>43040</c:v>
                </c:pt>
                <c:pt idx="176">
                  <c:v>43040</c:v>
                </c:pt>
                <c:pt idx="177">
                  <c:v>43070</c:v>
                </c:pt>
                <c:pt idx="178">
                  <c:v>43070</c:v>
                </c:pt>
                <c:pt idx="179">
                  <c:v>43070</c:v>
                </c:pt>
                <c:pt idx="180">
                  <c:v>43101</c:v>
                </c:pt>
                <c:pt idx="181">
                  <c:v>43101</c:v>
                </c:pt>
                <c:pt idx="182">
                  <c:v>43101</c:v>
                </c:pt>
                <c:pt idx="183">
                  <c:v>43132</c:v>
                </c:pt>
                <c:pt idx="184">
                  <c:v>43132</c:v>
                </c:pt>
                <c:pt idx="185">
                  <c:v>43132</c:v>
                </c:pt>
                <c:pt idx="186">
                  <c:v>43160</c:v>
                </c:pt>
                <c:pt idx="187">
                  <c:v>43160</c:v>
                </c:pt>
                <c:pt idx="188">
                  <c:v>43160</c:v>
                </c:pt>
                <c:pt idx="189">
                  <c:v>43191</c:v>
                </c:pt>
                <c:pt idx="190">
                  <c:v>43191</c:v>
                </c:pt>
                <c:pt idx="191">
                  <c:v>43191</c:v>
                </c:pt>
                <c:pt idx="192">
                  <c:v>43221</c:v>
                </c:pt>
                <c:pt idx="193">
                  <c:v>43221</c:v>
                </c:pt>
                <c:pt idx="194">
                  <c:v>43221</c:v>
                </c:pt>
                <c:pt idx="195">
                  <c:v>43252</c:v>
                </c:pt>
                <c:pt idx="196">
                  <c:v>43252</c:v>
                </c:pt>
                <c:pt idx="197">
                  <c:v>43252</c:v>
                </c:pt>
                <c:pt idx="198">
                  <c:v>43282</c:v>
                </c:pt>
                <c:pt idx="199">
                  <c:v>43282</c:v>
                </c:pt>
                <c:pt idx="200">
                  <c:v>43282</c:v>
                </c:pt>
                <c:pt idx="201">
                  <c:v>43313</c:v>
                </c:pt>
                <c:pt idx="202">
                  <c:v>43313</c:v>
                </c:pt>
                <c:pt idx="203">
                  <c:v>43313</c:v>
                </c:pt>
                <c:pt idx="204">
                  <c:v>43344</c:v>
                </c:pt>
                <c:pt idx="205">
                  <c:v>43344</c:v>
                </c:pt>
                <c:pt idx="206">
                  <c:v>43344</c:v>
                </c:pt>
                <c:pt idx="207">
                  <c:v>43374</c:v>
                </c:pt>
                <c:pt idx="208">
                  <c:v>43374</c:v>
                </c:pt>
                <c:pt idx="209">
                  <c:v>43374</c:v>
                </c:pt>
                <c:pt idx="210">
                  <c:v>43405</c:v>
                </c:pt>
                <c:pt idx="211">
                  <c:v>43405</c:v>
                </c:pt>
                <c:pt idx="212">
                  <c:v>43405</c:v>
                </c:pt>
                <c:pt idx="213">
                  <c:v>43435</c:v>
                </c:pt>
                <c:pt idx="214">
                  <c:v>43435</c:v>
                </c:pt>
                <c:pt idx="215">
                  <c:v>43435</c:v>
                </c:pt>
                <c:pt idx="216">
                  <c:v>43466</c:v>
                </c:pt>
                <c:pt idx="217">
                  <c:v>43466</c:v>
                </c:pt>
                <c:pt idx="218">
                  <c:v>43466</c:v>
                </c:pt>
                <c:pt idx="219">
                  <c:v>43497</c:v>
                </c:pt>
                <c:pt idx="220">
                  <c:v>43497</c:v>
                </c:pt>
                <c:pt idx="221">
                  <c:v>43497</c:v>
                </c:pt>
                <c:pt idx="222">
                  <c:v>43525</c:v>
                </c:pt>
                <c:pt idx="223">
                  <c:v>43525</c:v>
                </c:pt>
                <c:pt idx="224">
                  <c:v>43525</c:v>
                </c:pt>
                <c:pt idx="225">
                  <c:v>43586</c:v>
                </c:pt>
                <c:pt idx="226">
                  <c:v>43586</c:v>
                </c:pt>
                <c:pt idx="227">
                  <c:v>43586</c:v>
                </c:pt>
                <c:pt idx="228">
                  <c:v>43617</c:v>
                </c:pt>
                <c:pt idx="229">
                  <c:v>43617</c:v>
                </c:pt>
                <c:pt idx="230">
                  <c:v>43617</c:v>
                </c:pt>
                <c:pt idx="231">
                  <c:v>43647</c:v>
                </c:pt>
                <c:pt idx="232">
                  <c:v>43647</c:v>
                </c:pt>
                <c:pt idx="233">
                  <c:v>43647</c:v>
                </c:pt>
                <c:pt idx="234">
                  <c:v>43678</c:v>
                </c:pt>
                <c:pt idx="235">
                  <c:v>43678</c:v>
                </c:pt>
                <c:pt idx="236">
                  <c:v>43678</c:v>
                </c:pt>
                <c:pt idx="237">
                  <c:v>43709</c:v>
                </c:pt>
                <c:pt idx="238">
                  <c:v>43709</c:v>
                </c:pt>
                <c:pt idx="239">
                  <c:v>43709</c:v>
                </c:pt>
                <c:pt idx="240">
                  <c:v>43739</c:v>
                </c:pt>
                <c:pt idx="241">
                  <c:v>43739</c:v>
                </c:pt>
                <c:pt idx="242">
                  <c:v>43739</c:v>
                </c:pt>
                <c:pt idx="243">
                  <c:v>43770</c:v>
                </c:pt>
                <c:pt idx="244">
                  <c:v>43770</c:v>
                </c:pt>
                <c:pt idx="245">
                  <c:v>43770</c:v>
                </c:pt>
                <c:pt idx="246">
                  <c:v>43800</c:v>
                </c:pt>
                <c:pt idx="247">
                  <c:v>43800</c:v>
                </c:pt>
                <c:pt idx="248">
                  <c:v>43800</c:v>
                </c:pt>
                <c:pt idx="249">
                  <c:v>43831</c:v>
                </c:pt>
                <c:pt idx="250">
                  <c:v>43831</c:v>
                </c:pt>
                <c:pt idx="251">
                  <c:v>43831</c:v>
                </c:pt>
                <c:pt idx="252">
                  <c:v>43862</c:v>
                </c:pt>
                <c:pt idx="253">
                  <c:v>43862</c:v>
                </c:pt>
                <c:pt idx="254">
                  <c:v>43862</c:v>
                </c:pt>
                <c:pt idx="255">
                  <c:v>43891</c:v>
                </c:pt>
                <c:pt idx="256">
                  <c:v>43891</c:v>
                </c:pt>
                <c:pt idx="257">
                  <c:v>43891</c:v>
                </c:pt>
                <c:pt idx="258">
                  <c:v>43922</c:v>
                </c:pt>
                <c:pt idx="259">
                  <c:v>43922</c:v>
                </c:pt>
                <c:pt idx="260">
                  <c:v>43922</c:v>
                </c:pt>
                <c:pt idx="261">
                  <c:v>43952</c:v>
                </c:pt>
                <c:pt idx="262">
                  <c:v>43952</c:v>
                </c:pt>
                <c:pt idx="263">
                  <c:v>43952</c:v>
                </c:pt>
                <c:pt idx="264">
                  <c:v>43983</c:v>
                </c:pt>
                <c:pt idx="265">
                  <c:v>43983</c:v>
                </c:pt>
                <c:pt idx="266">
                  <c:v>43983</c:v>
                </c:pt>
                <c:pt idx="267">
                  <c:v>44013</c:v>
                </c:pt>
                <c:pt idx="268">
                  <c:v>44013</c:v>
                </c:pt>
                <c:pt idx="269">
                  <c:v>44013</c:v>
                </c:pt>
                <c:pt idx="270">
                  <c:v>44044</c:v>
                </c:pt>
                <c:pt idx="271">
                  <c:v>44044</c:v>
                </c:pt>
                <c:pt idx="272">
                  <c:v>44044</c:v>
                </c:pt>
                <c:pt idx="273">
                  <c:v>44075</c:v>
                </c:pt>
                <c:pt idx="274">
                  <c:v>44075</c:v>
                </c:pt>
                <c:pt idx="275">
                  <c:v>44075</c:v>
                </c:pt>
                <c:pt idx="276">
                  <c:v>44105</c:v>
                </c:pt>
                <c:pt idx="277">
                  <c:v>44105</c:v>
                </c:pt>
                <c:pt idx="278">
                  <c:v>44105</c:v>
                </c:pt>
                <c:pt idx="279">
                  <c:v>44136</c:v>
                </c:pt>
                <c:pt idx="280">
                  <c:v>44136</c:v>
                </c:pt>
                <c:pt idx="281">
                  <c:v>44136</c:v>
                </c:pt>
                <c:pt idx="282">
                  <c:v>44166</c:v>
                </c:pt>
                <c:pt idx="283">
                  <c:v>44166</c:v>
                </c:pt>
                <c:pt idx="284">
                  <c:v>44166</c:v>
                </c:pt>
                <c:pt idx="285">
                  <c:v>44197</c:v>
                </c:pt>
                <c:pt idx="286">
                  <c:v>44197</c:v>
                </c:pt>
                <c:pt idx="287">
                  <c:v>44197</c:v>
                </c:pt>
                <c:pt idx="288">
                  <c:v>44228</c:v>
                </c:pt>
                <c:pt idx="289">
                  <c:v>44228</c:v>
                </c:pt>
                <c:pt idx="290">
                  <c:v>44228</c:v>
                </c:pt>
                <c:pt idx="291">
                  <c:v>44256</c:v>
                </c:pt>
                <c:pt idx="292">
                  <c:v>44256</c:v>
                </c:pt>
                <c:pt idx="293">
                  <c:v>44256</c:v>
                </c:pt>
                <c:pt idx="294">
                  <c:v>44287</c:v>
                </c:pt>
                <c:pt idx="295">
                  <c:v>44287</c:v>
                </c:pt>
                <c:pt idx="296">
                  <c:v>44287</c:v>
                </c:pt>
                <c:pt idx="297">
                  <c:v>44317</c:v>
                </c:pt>
                <c:pt idx="298">
                  <c:v>44317</c:v>
                </c:pt>
                <c:pt idx="299">
                  <c:v>44317</c:v>
                </c:pt>
                <c:pt idx="300">
                  <c:v>44348</c:v>
                </c:pt>
                <c:pt idx="301">
                  <c:v>44348</c:v>
                </c:pt>
                <c:pt idx="302">
                  <c:v>44348</c:v>
                </c:pt>
                <c:pt idx="303">
                  <c:v>44378</c:v>
                </c:pt>
                <c:pt idx="304">
                  <c:v>44378</c:v>
                </c:pt>
                <c:pt idx="305">
                  <c:v>44378</c:v>
                </c:pt>
                <c:pt idx="306">
                  <c:v>44409</c:v>
                </c:pt>
                <c:pt idx="307">
                  <c:v>44409</c:v>
                </c:pt>
                <c:pt idx="308">
                  <c:v>44409</c:v>
                </c:pt>
                <c:pt idx="309">
                  <c:v>44440</c:v>
                </c:pt>
                <c:pt idx="310">
                  <c:v>44440</c:v>
                </c:pt>
                <c:pt idx="311">
                  <c:v>44440</c:v>
                </c:pt>
                <c:pt idx="312">
                  <c:v>44470</c:v>
                </c:pt>
                <c:pt idx="313">
                  <c:v>44470</c:v>
                </c:pt>
                <c:pt idx="314">
                  <c:v>44470</c:v>
                </c:pt>
                <c:pt idx="315">
                  <c:v>44501</c:v>
                </c:pt>
                <c:pt idx="316">
                  <c:v>44501</c:v>
                </c:pt>
                <c:pt idx="317">
                  <c:v>44501</c:v>
                </c:pt>
                <c:pt idx="318">
                  <c:v>44531</c:v>
                </c:pt>
                <c:pt idx="319">
                  <c:v>44531</c:v>
                </c:pt>
                <c:pt idx="320">
                  <c:v>44531</c:v>
                </c:pt>
                <c:pt idx="321">
                  <c:v>44562</c:v>
                </c:pt>
                <c:pt idx="322">
                  <c:v>44562</c:v>
                </c:pt>
                <c:pt idx="323">
                  <c:v>44562</c:v>
                </c:pt>
                <c:pt idx="324">
                  <c:v>44593</c:v>
                </c:pt>
                <c:pt idx="325">
                  <c:v>44593</c:v>
                </c:pt>
                <c:pt idx="326">
                  <c:v>44593</c:v>
                </c:pt>
                <c:pt idx="327">
                  <c:v>44621</c:v>
                </c:pt>
                <c:pt idx="328">
                  <c:v>44621</c:v>
                </c:pt>
                <c:pt idx="329">
                  <c:v>44621</c:v>
                </c:pt>
                <c:pt idx="330">
                  <c:v>44652</c:v>
                </c:pt>
                <c:pt idx="331">
                  <c:v>44652</c:v>
                </c:pt>
                <c:pt idx="332">
                  <c:v>44652</c:v>
                </c:pt>
                <c:pt idx="333">
                  <c:v>44682</c:v>
                </c:pt>
                <c:pt idx="334">
                  <c:v>44682</c:v>
                </c:pt>
                <c:pt idx="335">
                  <c:v>44682</c:v>
                </c:pt>
                <c:pt idx="336">
                  <c:v>44713</c:v>
                </c:pt>
                <c:pt idx="337">
                  <c:v>44713</c:v>
                </c:pt>
                <c:pt idx="338">
                  <c:v>44713</c:v>
                </c:pt>
                <c:pt idx="339">
                  <c:v>44743</c:v>
                </c:pt>
                <c:pt idx="340">
                  <c:v>44743</c:v>
                </c:pt>
                <c:pt idx="341">
                  <c:v>44743</c:v>
                </c:pt>
                <c:pt idx="342">
                  <c:v>44774</c:v>
                </c:pt>
                <c:pt idx="343">
                  <c:v>44774</c:v>
                </c:pt>
                <c:pt idx="344">
                  <c:v>44774</c:v>
                </c:pt>
                <c:pt idx="345">
                  <c:v>44805</c:v>
                </c:pt>
                <c:pt idx="346">
                  <c:v>44805</c:v>
                </c:pt>
                <c:pt idx="347">
                  <c:v>44805</c:v>
                </c:pt>
                <c:pt idx="348">
                  <c:v>44835</c:v>
                </c:pt>
                <c:pt idx="349">
                  <c:v>44835</c:v>
                </c:pt>
                <c:pt idx="350">
                  <c:v>44835</c:v>
                </c:pt>
                <c:pt idx="351">
                  <c:v>44866</c:v>
                </c:pt>
                <c:pt idx="352">
                  <c:v>44866</c:v>
                </c:pt>
                <c:pt idx="353">
                  <c:v>44866</c:v>
                </c:pt>
                <c:pt idx="354">
                  <c:v>44896</c:v>
                </c:pt>
                <c:pt idx="355">
                  <c:v>44896</c:v>
                </c:pt>
                <c:pt idx="356">
                  <c:v>44896</c:v>
                </c:pt>
                <c:pt idx="357">
                  <c:v>44927</c:v>
                </c:pt>
                <c:pt idx="358">
                  <c:v>44927</c:v>
                </c:pt>
                <c:pt idx="359">
                  <c:v>44927</c:v>
                </c:pt>
                <c:pt idx="360">
                  <c:v>44958</c:v>
                </c:pt>
                <c:pt idx="361">
                  <c:v>44958</c:v>
                </c:pt>
                <c:pt idx="362">
                  <c:v>44958</c:v>
                </c:pt>
                <c:pt idx="363">
                  <c:v>44986</c:v>
                </c:pt>
                <c:pt idx="364">
                  <c:v>44986</c:v>
                </c:pt>
                <c:pt idx="365">
                  <c:v>44986</c:v>
                </c:pt>
                <c:pt idx="366">
                  <c:v>45017</c:v>
                </c:pt>
                <c:pt idx="367">
                  <c:v>45017</c:v>
                </c:pt>
                <c:pt idx="368">
                  <c:v>45017</c:v>
                </c:pt>
                <c:pt idx="369">
                  <c:v>45047</c:v>
                </c:pt>
                <c:pt idx="370">
                  <c:v>45047</c:v>
                </c:pt>
                <c:pt idx="371">
                  <c:v>45047</c:v>
                </c:pt>
              </c:numCache>
            </c:numRef>
          </c:cat>
          <c:val>
            <c:numRef>
              <c:f>'Q4'!$K$2:$K$373</c:f>
              <c:numCache>
                <c:formatCode>General</c:formatCode>
                <c:ptCount val="372"/>
                <c:pt idx="0">
                  <c:v>105.1</c:v>
                </c:pt>
                <c:pt idx="1">
                  <c:v>104</c:v>
                </c:pt>
                <c:pt idx="2">
                  <c:v>104.6</c:v>
                </c:pt>
                <c:pt idx="3">
                  <c:v>105.8</c:v>
                </c:pt>
                <c:pt idx="4">
                  <c:v>104.7</c:v>
                </c:pt>
                <c:pt idx="5">
                  <c:v>105.3</c:v>
                </c:pt>
                <c:pt idx="6">
                  <c:v>106</c:v>
                </c:pt>
                <c:pt idx="7">
                  <c:v>105</c:v>
                </c:pt>
                <c:pt idx="8">
                  <c:v>105.5</c:v>
                </c:pt>
                <c:pt idx="9">
                  <c:v>106.4</c:v>
                </c:pt>
                <c:pt idx="10">
                  <c:v>105.7</c:v>
                </c:pt>
                <c:pt idx="11">
                  <c:v>106.1</c:v>
                </c:pt>
                <c:pt idx="12">
                  <c:v>107.2</c:v>
                </c:pt>
                <c:pt idx="13">
                  <c:v>106.6</c:v>
                </c:pt>
                <c:pt idx="14">
                  <c:v>106.9</c:v>
                </c:pt>
                <c:pt idx="15">
                  <c:v>108.9</c:v>
                </c:pt>
                <c:pt idx="16">
                  <c:v>109.7</c:v>
                </c:pt>
                <c:pt idx="17">
                  <c:v>109.3</c:v>
                </c:pt>
                <c:pt idx="18">
                  <c:v>110.7</c:v>
                </c:pt>
                <c:pt idx="19">
                  <c:v>111.4</c:v>
                </c:pt>
                <c:pt idx="20">
                  <c:v>111</c:v>
                </c:pt>
                <c:pt idx="21">
                  <c:v>112.1</c:v>
                </c:pt>
                <c:pt idx="22">
                  <c:v>112.7</c:v>
                </c:pt>
                <c:pt idx="23">
                  <c:v>112.4</c:v>
                </c:pt>
                <c:pt idx="24">
                  <c:v>114.2</c:v>
                </c:pt>
                <c:pt idx="25">
                  <c:v>113.2</c:v>
                </c:pt>
                <c:pt idx="26">
                  <c:v>113.7</c:v>
                </c:pt>
                <c:pt idx="27">
                  <c:v>115.5</c:v>
                </c:pt>
                <c:pt idx="28">
                  <c:v>114</c:v>
                </c:pt>
                <c:pt idx="29">
                  <c:v>114.8</c:v>
                </c:pt>
                <c:pt idx="30">
                  <c:v>117.4</c:v>
                </c:pt>
                <c:pt idx="31">
                  <c:v>115</c:v>
                </c:pt>
                <c:pt idx="32">
                  <c:v>116.3</c:v>
                </c:pt>
                <c:pt idx="33">
                  <c:v>115.5</c:v>
                </c:pt>
                <c:pt idx="34">
                  <c:v>113.3</c:v>
                </c:pt>
                <c:pt idx="35">
                  <c:v>114.5</c:v>
                </c:pt>
                <c:pt idx="36">
                  <c:v>114.2</c:v>
                </c:pt>
                <c:pt idx="37">
                  <c:v>112.9</c:v>
                </c:pt>
                <c:pt idx="38">
                  <c:v>113.6</c:v>
                </c:pt>
                <c:pt idx="39">
                  <c:v>114</c:v>
                </c:pt>
                <c:pt idx="40">
                  <c:v>113.1</c:v>
                </c:pt>
                <c:pt idx="41">
                  <c:v>113.6</c:v>
                </c:pt>
                <c:pt idx="42">
                  <c:v>114.6</c:v>
                </c:pt>
                <c:pt idx="43">
                  <c:v>113.7</c:v>
                </c:pt>
                <c:pt idx="44">
                  <c:v>114.2</c:v>
                </c:pt>
                <c:pt idx="45">
                  <c:v>115.4</c:v>
                </c:pt>
                <c:pt idx="46">
                  <c:v>114.7</c:v>
                </c:pt>
                <c:pt idx="47">
                  <c:v>115.1</c:v>
                </c:pt>
                <c:pt idx="48">
                  <c:v>116</c:v>
                </c:pt>
                <c:pt idx="49">
                  <c:v>115.6</c:v>
                </c:pt>
                <c:pt idx="50">
                  <c:v>115.8</c:v>
                </c:pt>
                <c:pt idx="51">
                  <c:v>117</c:v>
                </c:pt>
                <c:pt idx="52">
                  <c:v>116.4</c:v>
                </c:pt>
                <c:pt idx="53">
                  <c:v>116.7</c:v>
                </c:pt>
                <c:pt idx="54">
                  <c:v>119.5</c:v>
                </c:pt>
                <c:pt idx="55">
                  <c:v>118.9</c:v>
                </c:pt>
                <c:pt idx="56">
                  <c:v>119.2</c:v>
                </c:pt>
                <c:pt idx="57">
                  <c:v>120.7</c:v>
                </c:pt>
                <c:pt idx="58">
                  <c:v>119.9</c:v>
                </c:pt>
                <c:pt idx="59">
                  <c:v>120.3</c:v>
                </c:pt>
                <c:pt idx="60">
                  <c:v>120.9</c:v>
                </c:pt>
                <c:pt idx="61">
                  <c:v>119.2</c:v>
                </c:pt>
                <c:pt idx="62">
                  <c:v>120.1</c:v>
                </c:pt>
                <c:pt idx="63">
                  <c:v>121</c:v>
                </c:pt>
                <c:pt idx="64">
                  <c:v>119.1</c:v>
                </c:pt>
                <c:pt idx="65">
                  <c:v>120.1</c:v>
                </c:pt>
                <c:pt idx="66">
                  <c:v>121.1</c:v>
                </c:pt>
                <c:pt idx="67">
                  <c:v>119</c:v>
                </c:pt>
                <c:pt idx="68">
                  <c:v>120.1</c:v>
                </c:pt>
                <c:pt idx="69">
                  <c:v>120.3</c:v>
                </c:pt>
                <c:pt idx="70">
                  <c:v>118.4</c:v>
                </c:pt>
                <c:pt idx="71">
                  <c:v>119.4</c:v>
                </c:pt>
                <c:pt idx="72">
                  <c:v>120.3</c:v>
                </c:pt>
                <c:pt idx="73">
                  <c:v>118.5</c:v>
                </c:pt>
                <c:pt idx="74">
                  <c:v>119.5</c:v>
                </c:pt>
                <c:pt idx="75">
                  <c:v>120.6</c:v>
                </c:pt>
                <c:pt idx="76">
                  <c:v>118.7</c:v>
                </c:pt>
                <c:pt idx="77">
                  <c:v>119.7</c:v>
                </c:pt>
                <c:pt idx="78">
                  <c:v>121.1</c:v>
                </c:pt>
                <c:pt idx="79">
                  <c:v>119.1</c:v>
                </c:pt>
                <c:pt idx="80">
                  <c:v>120.2</c:v>
                </c:pt>
                <c:pt idx="81">
                  <c:v>121.5</c:v>
                </c:pt>
                <c:pt idx="82">
                  <c:v>119.7</c:v>
                </c:pt>
                <c:pt idx="83">
                  <c:v>120.7</c:v>
                </c:pt>
                <c:pt idx="84">
                  <c:v>122.4</c:v>
                </c:pt>
                <c:pt idx="85">
                  <c:v>120.7</c:v>
                </c:pt>
                <c:pt idx="86">
                  <c:v>121.6</c:v>
                </c:pt>
                <c:pt idx="87">
                  <c:v>124.1</c:v>
                </c:pt>
                <c:pt idx="88">
                  <c:v>121.7</c:v>
                </c:pt>
                <c:pt idx="89">
                  <c:v>123</c:v>
                </c:pt>
                <c:pt idx="90">
                  <c:v>124.7</c:v>
                </c:pt>
                <c:pt idx="91">
                  <c:v>122.4</c:v>
                </c:pt>
                <c:pt idx="92">
                  <c:v>123.6</c:v>
                </c:pt>
                <c:pt idx="93">
                  <c:v>126.1</c:v>
                </c:pt>
                <c:pt idx="94">
                  <c:v>123.2</c:v>
                </c:pt>
                <c:pt idx="95">
                  <c:v>124.8</c:v>
                </c:pt>
                <c:pt idx="96">
                  <c:v>127</c:v>
                </c:pt>
                <c:pt idx="97">
                  <c:v>123.5</c:v>
                </c:pt>
                <c:pt idx="98">
                  <c:v>125.4</c:v>
                </c:pt>
                <c:pt idx="99">
                  <c:v>127.7</c:v>
                </c:pt>
                <c:pt idx="100">
                  <c:v>124.2</c:v>
                </c:pt>
                <c:pt idx="101">
                  <c:v>126.1</c:v>
                </c:pt>
                <c:pt idx="102">
                  <c:v>128.30000000000001</c:v>
                </c:pt>
                <c:pt idx="103">
                  <c:v>124.6</c:v>
                </c:pt>
                <c:pt idx="104">
                  <c:v>126.6</c:v>
                </c:pt>
                <c:pt idx="105">
                  <c:v>127.9</c:v>
                </c:pt>
                <c:pt idx="106">
                  <c:v>124</c:v>
                </c:pt>
                <c:pt idx="107">
                  <c:v>126.1</c:v>
                </c:pt>
                <c:pt idx="108">
                  <c:v>128.1</c:v>
                </c:pt>
                <c:pt idx="109">
                  <c:v>124.2</c:v>
                </c:pt>
                <c:pt idx="110">
                  <c:v>126.3</c:v>
                </c:pt>
                <c:pt idx="111">
                  <c:v>127.9</c:v>
                </c:pt>
                <c:pt idx="112">
                  <c:v>123.8</c:v>
                </c:pt>
                <c:pt idx="113">
                  <c:v>126</c:v>
                </c:pt>
                <c:pt idx="114">
                  <c:v>128</c:v>
                </c:pt>
                <c:pt idx="115">
                  <c:v>123.8</c:v>
                </c:pt>
                <c:pt idx="116">
                  <c:v>126</c:v>
                </c:pt>
                <c:pt idx="117">
                  <c:v>129</c:v>
                </c:pt>
                <c:pt idx="118">
                  <c:v>125.3</c:v>
                </c:pt>
                <c:pt idx="119">
                  <c:v>127.3</c:v>
                </c:pt>
                <c:pt idx="120">
                  <c:v>130.30000000000001</c:v>
                </c:pt>
                <c:pt idx="121">
                  <c:v>126.6</c:v>
                </c:pt>
                <c:pt idx="122">
                  <c:v>128.6</c:v>
                </c:pt>
                <c:pt idx="123">
                  <c:v>131.9</c:v>
                </c:pt>
                <c:pt idx="124">
                  <c:v>128.1</c:v>
                </c:pt>
                <c:pt idx="125">
                  <c:v>130.1</c:v>
                </c:pt>
                <c:pt idx="126">
                  <c:v>133</c:v>
                </c:pt>
                <c:pt idx="127">
                  <c:v>129</c:v>
                </c:pt>
                <c:pt idx="128">
                  <c:v>131.1</c:v>
                </c:pt>
                <c:pt idx="129">
                  <c:v>133.5</c:v>
                </c:pt>
                <c:pt idx="130">
                  <c:v>128.4</c:v>
                </c:pt>
                <c:pt idx="131">
                  <c:v>131.1</c:v>
                </c:pt>
                <c:pt idx="132">
                  <c:v>133.4</c:v>
                </c:pt>
                <c:pt idx="133">
                  <c:v>128</c:v>
                </c:pt>
                <c:pt idx="134">
                  <c:v>130.9</c:v>
                </c:pt>
                <c:pt idx="135">
                  <c:v>133.80000000000001</c:v>
                </c:pt>
                <c:pt idx="136">
                  <c:v>128.6</c:v>
                </c:pt>
                <c:pt idx="137">
                  <c:v>131.4</c:v>
                </c:pt>
                <c:pt idx="138">
                  <c:v>133.6</c:v>
                </c:pt>
                <c:pt idx="139">
                  <c:v>128.5</c:v>
                </c:pt>
                <c:pt idx="140">
                  <c:v>131.19999999999999</c:v>
                </c:pt>
                <c:pt idx="141">
                  <c:v>132.80000000000001</c:v>
                </c:pt>
                <c:pt idx="142">
                  <c:v>127.6</c:v>
                </c:pt>
                <c:pt idx="143">
                  <c:v>130.4</c:v>
                </c:pt>
                <c:pt idx="144">
                  <c:v>132.4</c:v>
                </c:pt>
                <c:pt idx="145">
                  <c:v>127.8</c:v>
                </c:pt>
                <c:pt idx="146">
                  <c:v>130.30000000000001</c:v>
                </c:pt>
                <c:pt idx="147">
                  <c:v>132.6</c:v>
                </c:pt>
                <c:pt idx="148">
                  <c:v>128.19999999999999</c:v>
                </c:pt>
                <c:pt idx="149">
                  <c:v>130.6</c:v>
                </c:pt>
                <c:pt idx="150">
                  <c:v>132.80000000000001</c:v>
                </c:pt>
                <c:pt idx="151">
                  <c:v>128.69999999999999</c:v>
                </c:pt>
                <c:pt idx="152">
                  <c:v>130.9</c:v>
                </c:pt>
                <c:pt idx="153">
                  <c:v>132.9</c:v>
                </c:pt>
                <c:pt idx="154">
                  <c:v>129.1</c:v>
                </c:pt>
                <c:pt idx="155">
                  <c:v>131.1</c:v>
                </c:pt>
                <c:pt idx="156">
                  <c:v>133.30000000000001</c:v>
                </c:pt>
                <c:pt idx="157">
                  <c:v>129.30000000000001</c:v>
                </c:pt>
                <c:pt idx="158">
                  <c:v>131.4</c:v>
                </c:pt>
                <c:pt idx="159">
                  <c:v>133.9</c:v>
                </c:pt>
                <c:pt idx="160">
                  <c:v>129.9</c:v>
                </c:pt>
                <c:pt idx="161">
                  <c:v>132</c:v>
                </c:pt>
                <c:pt idx="162">
                  <c:v>136.19999999999999</c:v>
                </c:pt>
                <c:pt idx="163">
                  <c:v>131.80000000000001</c:v>
                </c:pt>
                <c:pt idx="164">
                  <c:v>134.19999999999999</c:v>
                </c:pt>
                <c:pt idx="165">
                  <c:v>137.80000000000001</c:v>
                </c:pt>
                <c:pt idx="166">
                  <c:v>132.69999999999999</c:v>
                </c:pt>
                <c:pt idx="167">
                  <c:v>135.4</c:v>
                </c:pt>
                <c:pt idx="168">
                  <c:v>137.6</c:v>
                </c:pt>
                <c:pt idx="169">
                  <c:v>132.4</c:v>
                </c:pt>
                <c:pt idx="170">
                  <c:v>135.19999999999999</c:v>
                </c:pt>
                <c:pt idx="171">
                  <c:v>138.30000000000001</c:v>
                </c:pt>
                <c:pt idx="172">
                  <c:v>133.5</c:v>
                </c:pt>
                <c:pt idx="173">
                  <c:v>136.1</c:v>
                </c:pt>
                <c:pt idx="174">
                  <c:v>140</c:v>
                </c:pt>
                <c:pt idx="175">
                  <c:v>134.80000000000001</c:v>
                </c:pt>
                <c:pt idx="176">
                  <c:v>137.6</c:v>
                </c:pt>
                <c:pt idx="177">
                  <c:v>139.80000000000001</c:v>
                </c:pt>
                <c:pt idx="178">
                  <c:v>134.1</c:v>
                </c:pt>
                <c:pt idx="179">
                  <c:v>137.19999999999999</c:v>
                </c:pt>
                <c:pt idx="180">
                  <c:v>139.30000000000001</c:v>
                </c:pt>
                <c:pt idx="181">
                  <c:v>134.1</c:v>
                </c:pt>
                <c:pt idx="182">
                  <c:v>136.9</c:v>
                </c:pt>
                <c:pt idx="183">
                  <c:v>138.5</c:v>
                </c:pt>
                <c:pt idx="184">
                  <c:v>134</c:v>
                </c:pt>
                <c:pt idx="185">
                  <c:v>136.4</c:v>
                </c:pt>
                <c:pt idx="186">
                  <c:v>138.69999999999999</c:v>
                </c:pt>
                <c:pt idx="187">
                  <c:v>134</c:v>
                </c:pt>
                <c:pt idx="188">
                  <c:v>136.5</c:v>
                </c:pt>
                <c:pt idx="189">
                  <c:v>139.1</c:v>
                </c:pt>
                <c:pt idx="190">
                  <c:v>134.80000000000001</c:v>
                </c:pt>
                <c:pt idx="191">
                  <c:v>137.1</c:v>
                </c:pt>
                <c:pt idx="192">
                  <c:v>139.80000000000001</c:v>
                </c:pt>
                <c:pt idx="193">
                  <c:v>135.4</c:v>
                </c:pt>
                <c:pt idx="194">
                  <c:v>137.80000000000001</c:v>
                </c:pt>
                <c:pt idx="195">
                  <c:v>140.5</c:v>
                </c:pt>
                <c:pt idx="196">
                  <c:v>136.19999999999999</c:v>
                </c:pt>
                <c:pt idx="197">
                  <c:v>138.5</c:v>
                </c:pt>
                <c:pt idx="198">
                  <c:v>141.80000000000001</c:v>
                </c:pt>
                <c:pt idx="199">
                  <c:v>137.5</c:v>
                </c:pt>
                <c:pt idx="200">
                  <c:v>139.80000000000001</c:v>
                </c:pt>
                <c:pt idx="201">
                  <c:v>142.5</c:v>
                </c:pt>
                <c:pt idx="202">
                  <c:v>138</c:v>
                </c:pt>
                <c:pt idx="203">
                  <c:v>140.4</c:v>
                </c:pt>
                <c:pt idx="204">
                  <c:v>142.1</c:v>
                </c:pt>
                <c:pt idx="205">
                  <c:v>138.1</c:v>
                </c:pt>
                <c:pt idx="206">
                  <c:v>140.19999999999999</c:v>
                </c:pt>
                <c:pt idx="207">
                  <c:v>142.19999999999999</c:v>
                </c:pt>
                <c:pt idx="208">
                  <c:v>138.9</c:v>
                </c:pt>
                <c:pt idx="209">
                  <c:v>140.80000000000001</c:v>
                </c:pt>
                <c:pt idx="210">
                  <c:v>142.4</c:v>
                </c:pt>
                <c:pt idx="211">
                  <c:v>139</c:v>
                </c:pt>
                <c:pt idx="212">
                  <c:v>140.80000000000001</c:v>
                </c:pt>
                <c:pt idx="213">
                  <c:v>141.9</c:v>
                </c:pt>
                <c:pt idx="214">
                  <c:v>138</c:v>
                </c:pt>
                <c:pt idx="215">
                  <c:v>140.1</c:v>
                </c:pt>
                <c:pt idx="216">
                  <c:v>141</c:v>
                </c:pt>
                <c:pt idx="217">
                  <c:v>138</c:v>
                </c:pt>
                <c:pt idx="218">
                  <c:v>139.6</c:v>
                </c:pt>
                <c:pt idx="219">
                  <c:v>141</c:v>
                </c:pt>
                <c:pt idx="220">
                  <c:v>138.6</c:v>
                </c:pt>
                <c:pt idx="221">
                  <c:v>139.9</c:v>
                </c:pt>
                <c:pt idx="222">
                  <c:v>141.19999999999999</c:v>
                </c:pt>
                <c:pt idx="223">
                  <c:v>139.5</c:v>
                </c:pt>
                <c:pt idx="224">
                  <c:v>140.4</c:v>
                </c:pt>
                <c:pt idx="225">
                  <c:v>142.4</c:v>
                </c:pt>
                <c:pt idx="226">
                  <c:v>141.5</c:v>
                </c:pt>
                <c:pt idx="227">
                  <c:v>142</c:v>
                </c:pt>
                <c:pt idx="228">
                  <c:v>143.6</c:v>
                </c:pt>
                <c:pt idx="229">
                  <c:v>142.1</c:v>
                </c:pt>
                <c:pt idx="230">
                  <c:v>142.9</c:v>
                </c:pt>
                <c:pt idx="231">
                  <c:v>144.9</c:v>
                </c:pt>
                <c:pt idx="232">
                  <c:v>143.30000000000001</c:v>
                </c:pt>
                <c:pt idx="233">
                  <c:v>144.19999999999999</c:v>
                </c:pt>
                <c:pt idx="234">
                  <c:v>145.69999999999999</c:v>
                </c:pt>
                <c:pt idx="235">
                  <c:v>144.19999999999999</c:v>
                </c:pt>
                <c:pt idx="236">
                  <c:v>145</c:v>
                </c:pt>
                <c:pt idx="237">
                  <c:v>146.69999999999999</c:v>
                </c:pt>
                <c:pt idx="238">
                  <c:v>144.69999999999999</c:v>
                </c:pt>
                <c:pt idx="239">
                  <c:v>145.80000000000001</c:v>
                </c:pt>
                <c:pt idx="240">
                  <c:v>148.30000000000001</c:v>
                </c:pt>
                <c:pt idx="241">
                  <c:v>146</c:v>
                </c:pt>
                <c:pt idx="242">
                  <c:v>147.19999999999999</c:v>
                </c:pt>
                <c:pt idx="243">
                  <c:v>149.9</c:v>
                </c:pt>
                <c:pt idx="244">
                  <c:v>147</c:v>
                </c:pt>
                <c:pt idx="245">
                  <c:v>148.6</c:v>
                </c:pt>
                <c:pt idx="246">
                  <c:v>152.30000000000001</c:v>
                </c:pt>
                <c:pt idx="247">
                  <c:v>148.30000000000001</c:v>
                </c:pt>
                <c:pt idx="248">
                  <c:v>150.4</c:v>
                </c:pt>
                <c:pt idx="249">
                  <c:v>151.9</c:v>
                </c:pt>
                <c:pt idx="250">
                  <c:v>148.19999999999999</c:v>
                </c:pt>
                <c:pt idx="251">
                  <c:v>150.19999999999999</c:v>
                </c:pt>
                <c:pt idx="252">
                  <c:v>150.4</c:v>
                </c:pt>
                <c:pt idx="253">
                  <c:v>147.69999999999999</c:v>
                </c:pt>
                <c:pt idx="254">
                  <c:v>149.1</c:v>
                </c:pt>
                <c:pt idx="255">
                  <c:v>149.80000000000001</c:v>
                </c:pt>
                <c:pt idx="256">
                  <c:v>147.30000000000001</c:v>
                </c:pt>
                <c:pt idx="257">
                  <c:v>148.6</c:v>
                </c:pt>
                <c:pt idx="258">
                  <c:v>150.10000000000002</c:v>
                </c:pt>
                <c:pt idx="259">
                  <c:v>147.5</c:v>
                </c:pt>
                <c:pt idx="260">
                  <c:v>148.85</c:v>
                </c:pt>
                <c:pt idx="261">
                  <c:v>149.95000000000002</c:v>
                </c:pt>
                <c:pt idx="262">
                  <c:v>147.4</c:v>
                </c:pt>
                <c:pt idx="263">
                  <c:v>148.72499999999999</c:v>
                </c:pt>
                <c:pt idx="264">
                  <c:v>152.69999999999999</c:v>
                </c:pt>
                <c:pt idx="265">
                  <c:v>150.80000000000001</c:v>
                </c:pt>
                <c:pt idx="266">
                  <c:v>151.80000000000001</c:v>
                </c:pt>
                <c:pt idx="267">
                  <c:v>152.69999999999999</c:v>
                </c:pt>
                <c:pt idx="268">
                  <c:v>150.80000000000001</c:v>
                </c:pt>
                <c:pt idx="269">
                  <c:v>151.80000000000001</c:v>
                </c:pt>
                <c:pt idx="270">
                  <c:v>154.69999999999999</c:v>
                </c:pt>
                <c:pt idx="271">
                  <c:v>152.9</c:v>
                </c:pt>
                <c:pt idx="272">
                  <c:v>153.9</c:v>
                </c:pt>
                <c:pt idx="273">
                  <c:v>155.4</c:v>
                </c:pt>
                <c:pt idx="274">
                  <c:v>154</c:v>
                </c:pt>
                <c:pt idx="275">
                  <c:v>154.69999999999999</c:v>
                </c:pt>
                <c:pt idx="276">
                  <c:v>157.5</c:v>
                </c:pt>
                <c:pt idx="277">
                  <c:v>155.19999999999999</c:v>
                </c:pt>
                <c:pt idx="278">
                  <c:v>156.4</c:v>
                </c:pt>
                <c:pt idx="279">
                  <c:v>159.80000000000001</c:v>
                </c:pt>
                <c:pt idx="280">
                  <c:v>156.69999999999999</c:v>
                </c:pt>
                <c:pt idx="281">
                  <c:v>158.4</c:v>
                </c:pt>
                <c:pt idx="282">
                  <c:v>160.69999999999999</c:v>
                </c:pt>
                <c:pt idx="283">
                  <c:v>156.9</c:v>
                </c:pt>
                <c:pt idx="284">
                  <c:v>158.9</c:v>
                </c:pt>
                <c:pt idx="285">
                  <c:v>158.5</c:v>
                </c:pt>
                <c:pt idx="286">
                  <c:v>156</c:v>
                </c:pt>
                <c:pt idx="287">
                  <c:v>157.30000000000001</c:v>
                </c:pt>
                <c:pt idx="288">
                  <c:v>156.69999999999999</c:v>
                </c:pt>
                <c:pt idx="289">
                  <c:v>156.5</c:v>
                </c:pt>
                <c:pt idx="290">
                  <c:v>156.6</c:v>
                </c:pt>
                <c:pt idx="291">
                  <c:v>156.69999999999999</c:v>
                </c:pt>
                <c:pt idx="292">
                  <c:v>156.9</c:v>
                </c:pt>
                <c:pt idx="293">
                  <c:v>156.80000000000001</c:v>
                </c:pt>
                <c:pt idx="294">
                  <c:v>157.6</c:v>
                </c:pt>
                <c:pt idx="295">
                  <c:v>158</c:v>
                </c:pt>
                <c:pt idx="296">
                  <c:v>157.80000000000001</c:v>
                </c:pt>
                <c:pt idx="297">
                  <c:v>161.1</c:v>
                </c:pt>
                <c:pt idx="298">
                  <c:v>159.5</c:v>
                </c:pt>
                <c:pt idx="299">
                  <c:v>160.4</c:v>
                </c:pt>
                <c:pt idx="300">
                  <c:v>162.1</c:v>
                </c:pt>
                <c:pt idx="301">
                  <c:v>160.4</c:v>
                </c:pt>
                <c:pt idx="302">
                  <c:v>161.30000000000001</c:v>
                </c:pt>
                <c:pt idx="303">
                  <c:v>163.19999999999999</c:v>
                </c:pt>
                <c:pt idx="304">
                  <c:v>161.80000000000001</c:v>
                </c:pt>
                <c:pt idx="305">
                  <c:v>162.5</c:v>
                </c:pt>
                <c:pt idx="306">
                  <c:v>163.6</c:v>
                </c:pt>
                <c:pt idx="307">
                  <c:v>162.30000000000001</c:v>
                </c:pt>
                <c:pt idx="308">
                  <c:v>163.19999999999999</c:v>
                </c:pt>
                <c:pt idx="309">
                  <c:v>164</c:v>
                </c:pt>
                <c:pt idx="310">
                  <c:v>162.30000000000001</c:v>
                </c:pt>
                <c:pt idx="311">
                  <c:v>163.19999999999999</c:v>
                </c:pt>
                <c:pt idx="312">
                  <c:v>166.3</c:v>
                </c:pt>
                <c:pt idx="313">
                  <c:v>164.6</c:v>
                </c:pt>
                <c:pt idx="314">
                  <c:v>165.5</c:v>
                </c:pt>
                <c:pt idx="315">
                  <c:v>167.6</c:v>
                </c:pt>
                <c:pt idx="316">
                  <c:v>165.6</c:v>
                </c:pt>
                <c:pt idx="317">
                  <c:v>166.7</c:v>
                </c:pt>
                <c:pt idx="318">
                  <c:v>167</c:v>
                </c:pt>
                <c:pt idx="319">
                  <c:v>165.2</c:v>
                </c:pt>
                <c:pt idx="320">
                  <c:v>166.2</c:v>
                </c:pt>
                <c:pt idx="321">
                  <c:v>166.4</c:v>
                </c:pt>
                <c:pt idx="322">
                  <c:v>165</c:v>
                </c:pt>
                <c:pt idx="323">
                  <c:v>165.7</c:v>
                </c:pt>
                <c:pt idx="324">
                  <c:v>166.7</c:v>
                </c:pt>
                <c:pt idx="325">
                  <c:v>165.5</c:v>
                </c:pt>
                <c:pt idx="326">
                  <c:v>166.1</c:v>
                </c:pt>
                <c:pt idx="327">
                  <c:v>168.7</c:v>
                </c:pt>
                <c:pt idx="328">
                  <c:v>166.5</c:v>
                </c:pt>
                <c:pt idx="329">
                  <c:v>167.7</c:v>
                </c:pt>
                <c:pt idx="330">
                  <c:v>170.8</c:v>
                </c:pt>
                <c:pt idx="331">
                  <c:v>169.2</c:v>
                </c:pt>
                <c:pt idx="332">
                  <c:v>170.1</c:v>
                </c:pt>
                <c:pt idx="333">
                  <c:v>172.5</c:v>
                </c:pt>
                <c:pt idx="334">
                  <c:v>170.8</c:v>
                </c:pt>
                <c:pt idx="335">
                  <c:v>171.7</c:v>
                </c:pt>
                <c:pt idx="336">
                  <c:v>173.6</c:v>
                </c:pt>
                <c:pt idx="337">
                  <c:v>171.4</c:v>
                </c:pt>
                <c:pt idx="338">
                  <c:v>172.6</c:v>
                </c:pt>
                <c:pt idx="339">
                  <c:v>174.3</c:v>
                </c:pt>
                <c:pt idx="340">
                  <c:v>172.3</c:v>
                </c:pt>
                <c:pt idx="341">
                  <c:v>173.4</c:v>
                </c:pt>
                <c:pt idx="342">
                  <c:v>175.3</c:v>
                </c:pt>
                <c:pt idx="343">
                  <c:v>173.1</c:v>
                </c:pt>
                <c:pt idx="344">
                  <c:v>174.3</c:v>
                </c:pt>
                <c:pt idx="345">
                  <c:v>176.4</c:v>
                </c:pt>
                <c:pt idx="346">
                  <c:v>174.1</c:v>
                </c:pt>
                <c:pt idx="347">
                  <c:v>175.3</c:v>
                </c:pt>
                <c:pt idx="348">
                  <c:v>177.9</c:v>
                </c:pt>
                <c:pt idx="349">
                  <c:v>175.3</c:v>
                </c:pt>
                <c:pt idx="350">
                  <c:v>176.7</c:v>
                </c:pt>
                <c:pt idx="351">
                  <c:v>177.8</c:v>
                </c:pt>
                <c:pt idx="352">
                  <c:v>174.1</c:v>
                </c:pt>
                <c:pt idx="353">
                  <c:v>176.5</c:v>
                </c:pt>
                <c:pt idx="354">
                  <c:v>177.1</c:v>
                </c:pt>
                <c:pt idx="355">
                  <c:v>174.1</c:v>
                </c:pt>
                <c:pt idx="356">
                  <c:v>175.7</c:v>
                </c:pt>
                <c:pt idx="357">
                  <c:v>177.8</c:v>
                </c:pt>
                <c:pt idx="358">
                  <c:v>174.9</c:v>
                </c:pt>
                <c:pt idx="359">
                  <c:v>176.5</c:v>
                </c:pt>
                <c:pt idx="360">
                  <c:v>178</c:v>
                </c:pt>
                <c:pt idx="361">
                  <c:v>176.3</c:v>
                </c:pt>
                <c:pt idx="362">
                  <c:v>177.2</c:v>
                </c:pt>
                <c:pt idx="363">
                  <c:v>178</c:v>
                </c:pt>
                <c:pt idx="364">
                  <c:v>176.3</c:v>
                </c:pt>
                <c:pt idx="365">
                  <c:v>177.2</c:v>
                </c:pt>
                <c:pt idx="366">
                  <c:v>178.8</c:v>
                </c:pt>
                <c:pt idx="367">
                  <c:v>177.4</c:v>
                </c:pt>
                <c:pt idx="368">
                  <c:v>178.1</c:v>
                </c:pt>
                <c:pt idx="369">
                  <c:v>179.8</c:v>
                </c:pt>
                <c:pt idx="370">
                  <c:v>178.2</c:v>
                </c:pt>
                <c:pt idx="371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7-488C-BDD1-5710BBDFB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37632"/>
        <c:axId val="1616740512"/>
      </c:lineChart>
      <c:dateAx>
        <c:axId val="1616737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40512"/>
        <c:crosses val="autoZero"/>
        <c:auto val="1"/>
        <c:lblOffset val="100"/>
        <c:baseTimeUnit val="days"/>
      </c:dateAx>
      <c:valAx>
        <c:axId val="16167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376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838200</xdr:colOff>
      <xdr:row>27</xdr:row>
      <xdr:rowOff>175260</xdr:rowOff>
    </xdr:from>
    <xdr:to>
      <xdr:col>15</xdr:col>
      <xdr:colOff>594360</xdr:colOff>
      <xdr:row>40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6BE787-6E4F-4FCC-7644-A827A2D61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</xdr:colOff>
      <xdr:row>0</xdr:row>
      <xdr:rowOff>167640</xdr:rowOff>
    </xdr:from>
    <xdr:to>
      <xdr:col>22</xdr:col>
      <xdr:colOff>556260</xdr:colOff>
      <xdr:row>13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5A7281-687C-26C8-1BCE-4F8AD967F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571500</xdr:colOff>
      <xdr:row>27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66DCD8-9AAF-0AD8-AF7C-FFD983FCE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22860</xdr:colOff>
      <xdr:row>28</xdr:row>
      <xdr:rowOff>15240</xdr:rowOff>
    </xdr:from>
    <xdr:to>
      <xdr:col>22</xdr:col>
      <xdr:colOff>571500</xdr:colOff>
      <xdr:row>40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71E1E3-1B65-C2F9-CFA1-6F173657D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152400</xdr:colOff>
      <xdr:row>9</xdr:row>
      <xdr:rowOff>0</xdr:rowOff>
    </xdr:from>
    <xdr:to>
      <xdr:col>16</xdr:col>
      <xdr:colOff>472440</xdr:colOff>
      <xdr:row>17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1279BF-2B3D-FF81-2B1E-50A3ED129458}"/>
            </a:ext>
          </a:extLst>
        </xdr:cNvPr>
        <xdr:cNvSpPr txBox="1"/>
      </xdr:nvSpPr>
      <xdr:spPr>
        <a:xfrm>
          <a:off x="14066520" y="1645920"/>
          <a:ext cx="3139440" cy="1493520"/>
        </a:xfrm>
        <a:prstGeom prst="rect">
          <a:avLst/>
        </a:prstGeom>
        <a:gradFill>
          <a:gsLst>
            <a:gs pos="0">
              <a:schemeClr val="accent1">
                <a:lumMod val="7000"/>
                <a:lumOff val="93000"/>
                <a:alpha val="8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  <a:alpha val="84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These charts show the percentage contribution of categories to CPI. Food holds the largest share, driving overall inflation across Rural, Urban, and Rural+Urban segments. Charts are placed on the right for easy reference.</a:t>
          </a:r>
        </a:p>
      </xdr:txBody>
    </xdr:sp>
    <xdr:clientData/>
  </xdr:twoCellAnchor>
  <xdr:oneCellAnchor>
    <xdr:from>
      <xdr:col>8</xdr:col>
      <xdr:colOff>845820</xdr:colOff>
      <xdr:row>41</xdr:row>
      <xdr:rowOff>68580</xdr:rowOff>
    </xdr:from>
    <xdr:ext cx="8785860" cy="15925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BE6DDA-2CE1-F926-0D48-CF5CEEB6C6B0}"/>
            </a:ext>
          </a:extLst>
        </xdr:cNvPr>
        <xdr:cNvSpPr txBox="1"/>
      </xdr:nvSpPr>
      <xdr:spPr>
        <a:xfrm>
          <a:off x="7924800" y="7566660"/>
          <a:ext cx="8785860" cy="1592580"/>
        </a:xfrm>
        <a:prstGeom prst="rect">
          <a:avLst/>
        </a:prstGeom>
        <a:gradFill>
          <a:gsLst>
            <a:gs pos="2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Here are the insights from this chart:</a:t>
          </a:r>
          <a:br>
            <a:rPr lang="en-IN" sz="1200" b="1"/>
          </a:br>
          <a:endParaRPr lang="en-IN" sz="1200" b="1"/>
        </a:p>
        <a:p>
          <a:r>
            <a:rPr lang="en-IN" sz="1200" b="1"/>
            <a:t>1) The Urban CPI is the highest among the three sectors, showing stronger price pressures in urban areas.</a:t>
          </a:r>
        </a:p>
        <a:p>
          <a:endParaRPr lang="en-IN" sz="1200" b="1"/>
        </a:p>
        <a:p>
          <a:r>
            <a:rPr lang="en-IN" sz="1200" b="1"/>
            <a:t>2) Rural CPI is the lowest, indicating relatively lower inflationary impact in rural regions.</a:t>
          </a:r>
        </a:p>
        <a:p>
          <a:endParaRPr lang="en-IN" sz="1200" b="1"/>
        </a:p>
        <a:p>
          <a:r>
            <a:rPr lang="en-IN" sz="1200" b="1"/>
            <a:t>3) Rural+Urban CPI falls in between, as expected, representing the combined average of both segments.</a:t>
          </a: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11430</xdr:rowOff>
    </xdr:from>
    <xdr:to>
      <xdr:col>13</xdr:col>
      <xdr:colOff>68580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2D5C8-EB7A-E6D4-F6AA-32EF54A15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601980</xdr:colOff>
      <xdr:row>15</xdr:row>
      <xdr:rowOff>7620</xdr:rowOff>
    </xdr:from>
    <xdr:ext cx="3710940" cy="11353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AC6291-4727-CB54-16A8-BEDEFD584DB2}"/>
            </a:ext>
          </a:extLst>
        </xdr:cNvPr>
        <xdr:cNvSpPr txBox="1"/>
      </xdr:nvSpPr>
      <xdr:spPr>
        <a:xfrm>
          <a:off x="5600700" y="2750820"/>
          <a:ext cx="3710940" cy="1135380"/>
        </a:xfrm>
        <a:prstGeom prst="rect">
          <a:avLst/>
        </a:prstGeom>
        <a:gradFill>
          <a:gsLst>
            <a:gs pos="0">
              <a:schemeClr val="accent1">
                <a:lumMod val="7000"/>
                <a:lumOff val="93000"/>
                <a:alpha val="8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The highest inflation was in 2022, primarily driven by the after-effects of COVID-19, which disrupted supply chains and demand patterns. Additional pressures from the Russia-Ukraine war and rising energy and food prices further escalated inflation.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16</xdr:row>
      <xdr:rowOff>22860</xdr:rowOff>
    </xdr:from>
    <xdr:to>
      <xdr:col>10</xdr:col>
      <xdr:colOff>716280</xdr:colOff>
      <xdr:row>31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3D57D-6F13-06F0-5BA2-6D184CD2D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182880</xdr:colOff>
      <xdr:row>34</xdr:row>
      <xdr:rowOff>137160</xdr:rowOff>
    </xdr:from>
    <xdr:to>
      <xdr:col>10</xdr:col>
      <xdr:colOff>716280</xdr:colOff>
      <xdr:row>48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842A93-96CB-727B-D3A9-F8B8C0E33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51</xdr:row>
      <xdr:rowOff>7620</xdr:rowOff>
    </xdr:from>
    <xdr:ext cx="11079480" cy="23317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37BB69-ABE9-8980-F037-2DEA7E2882AB}"/>
            </a:ext>
          </a:extLst>
        </xdr:cNvPr>
        <xdr:cNvSpPr txBox="1"/>
      </xdr:nvSpPr>
      <xdr:spPr>
        <a:xfrm>
          <a:off x="0" y="9334500"/>
          <a:ext cx="11079480" cy="2331720"/>
        </a:xfrm>
        <a:prstGeom prst="rect">
          <a:avLst/>
        </a:prstGeom>
        <a:gradFill>
          <a:gsLst>
            <a:gs pos="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u="sng"/>
            <a:t>Insights for the first graph (Absolute Change Over 12 Months):</a:t>
          </a:r>
          <a:br>
            <a:rPr lang="en-IN" sz="1400" b="1" u="sng"/>
          </a:br>
          <a:endParaRPr lang="en-IN" sz="1400" u="sng"/>
        </a:p>
        <a:p>
          <a:r>
            <a:rPr lang="en-IN" sz="1400" b="1"/>
            <a:t>1) Spices and Oils &amp; Fats</a:t>
          </a:r>
          <a:r>
            <a:rPr lang="en-IN" sz="1400"/>
            <a:t> saw the sharpest increase, driving food inflation.</a:t>
          </a:r>
        </a:p>
        <a:p>
          <a:endParaRPr lang="en-IN" sz="1400"/>
        </a:p>
        <a:p>
          <a:r>
            <a:rPr lang="en-IN" sz="1400" b="1"/>
            <a:t>2) Cereals and Products</a:t>
          </a:r>
          <a:r>
            <a:rPr lang="en-IN" sz="1400"/>
            <a:t> also rose significantly, adding to price pressures.</a:t>
          </a:r>
        </a:p>
        <a:p>
          <a:endParaRPr lang="en-IN" sz="1400"/>
        </a:p>
        <a:p>
          <a:r>
            <a:rPr lang="en-IN" sz="1400" b="1"/>
            <a:t>3) Fruits, Meat &amp; Fish, and Sugar &amp; Confectionery</a:t>
          </a:r>
          <a:r>
            <a:rPr lang="en-IN" sz="1400"/>
            <a:t> remained relatively stable.</a:t>
          </a:r>
        </a:p>
        <a:p>
          <a:endParaRPr lang="en-IN" sz="1400"/>
        </a:p>
        <a:p>
          <a:endParaRPr lang="en-IN" sz="1400"/>
        </a:p>
        <a:p>
          <a:r>
            <a:rPr lang="en-IN" sz="1400"/>
            <a:t> </a:t>
          </a:r>
          <a:r>
            <a:rPr lang="en-IN" sz="1400" b="1"/>
            <a:t>#NOTE</a:t>
          </a:r>
          <a:r>
            <a:rPr lang="en-IN" sz="1400"/>
            <a:t>: The data highlights that the main inflationary push came from </a:t>
          </a:r>
          <a:r>
            <a:rPr lang="en-IN" sz="1400" b="1"/>
            <a:t>spices, oils &amp; fats, and cereals</a:t>
          </a:r>
          <a:r>
            <a:rPr lang="en-IN" sz="1400"/>
            <a:t>.</a:t>
          </a:r>
        </a:p>
        <a:p>
          <a:endParaRPr lang="en-IN" sz="1100"/>
        </a:p>
      </xdr:txBody>
    </xdr:sp>
    <xdr:clientData/>
  </xdr:oneCellAnchor>
  <xdr:oneCellAnchor>
    <xdr:from>
      <xdr:col>0</xdr:col>
      <xdr:colOff>0</xdr:colOff>
      <xdr:row>64</xdr:row>
      <xdr:rowOff>167640</xdr:rowOff>
    </xdr:from>
    <xdr:ext cx="11094720" cy="10591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132F0-B1B2-E392-F55A-57287D90E537}"/>
            </a:ext>
          </a:extLst>
        </xdr:cNvPr>
        <xdr:cNvSpPr txBox="1"/>
      </xdr:nvSpPr>
      <xdr:spPr>
        <a:xfrm>
          <a:off x="0" y="11871960"/>
          <a:ext cx="11094720" cy="1059180"/>
        </a:xfrm>
        <a:prstGeom prst="rect">
          <a:avLst/>
        </a:prstGeom>
        <a:gradFill>
          <a:gsLst>
            <a:gs pos="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u="sng"/>
            <a:t>Insights For the second </a:t>
          </a:r>
          <a:r>
            <a:rPr lang="en-IN" sz="1400" b="1" u="sng" baseline="0"/>
            <a:t>graph(Food Cpi And Monthly Inflation:</a:t>
          </a:r>
        </a:p>
        <a:p>
          <a:endParaRPr lang="en-IN" sz="1100" u="sng" baseline="0"/>
        </a:p>
        <a:p>
          <a:r>
            <a:rPr lang="en-IN" sz="1400" b="1"/>
            <a:t>1) </a:t>
          </a:r>
          <a:r>
            <a:rPr lang="en-IN" sz="1400"/>
            <a:t>Food CPI shows an overall upward trend with peaks in </a:t>
          </a:r>
          <a:r>
            <a:rPr lang="en-IN" sz="1400" b="1"/>
            <a:t>Oct, Nov, and May</a:t>
          </a:r>
          <a:r>
            <a:rPr lang="en-IN" sz="1400"/>
            <a:t>. Food inflation </a:t>
          </a:r>
          <a:r>
            <a:rPr lang="en-IN" sz="1400" b="1"/>
            <a:t>was highest in May  </a:t>
          </a:r>
          <a:r>
            <a:rPr lang="en-IN" sz="1400"/>
            <a:t>and </a:t>
          </a:r>
          <a:r>
            <a:rPr lang="en-IN" sz="1400" b="1"/>
            <a:t>lowest in Jan</a:t>
          </a:r>
          <a:r>
            <a:rPr lang="en-IN" sz="1400" b="1" baseline="0"/>
            <a:t> &amp; </a:t>
          </a:r>
          <a:r>
            <a:rPr lang="en-IN" sz="1400" b="1"/>
            <a:t>Mar </a:t>
          </a:r>
          <a:r>
            <a:rPr lang="en-IN" sz="1400"/>
            <a:t>, reflecting sharp monthly volatility.</a:t>
          </a:r>
          <a:endParaRPr lang="en-IN" sz="1400" u="sng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1203960</xdr:colOff>
      <xdr:row>13</xdr:row>
      <xdr:rowOff>148590</xdr:rowOff>
    </xdr:from>
    <xdr:to>
      <xdr:col>22</xdr:col>
      <xdr:colOff>0</xdr:colOff>
      <xdr:row>27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E92C45-1987-37E8-AD44-5DD965B06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28</xdr:row>
      <xdr:rowOff>163830</xdr:rowOff>
    </xdr:from>
    <xdr:to>
      <xdr:col>22</xdr:col>
      <xdr:colOff>15240</xdr:colOff>
      <xdr:row>41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8F1E1A-AE50-E685-1440-8DCEC7D2A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13</xdr:row>
      <xdr:rowOff>152400</xdr:rowOff>
    </xdr:from>
    <xdr:to>
      <xdr:col>16</xdr:col>
      <xdr:colOff>906780</xdr:colOff>
      <xdr:row>27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2A17C6-B838-184C-42C2-033DE1BD4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853440</xdr:colOff>
      <xdr:row>43</xdr:row>
      <xdr:rowOff>121920</xdr:rowOff>
    </xdr:from>
    <xdr:ext cx="8740140" cy="23850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F390BD-3BBE-D535-BE95-4F122258E7F6}"/>
            </a:ext>
          </a:extLst>
        </xdr:cNvPr>
        <xdr:cNvSpPr txBox="1"/>
      </xdr:nvSpPr>
      <xdr:spPr>
        <a:xfrm>
          <a:off x="10652760" y="7985760"/>
          <a:ext cx="8740140" cy="2385060"/>
        </a:xfrm>
        <a:prstGeom prst="rect">
          <a:avLst/>
        </a:prstGeom>
        <a:gradFill>
          <a:gsLst>
            <a:gs pos="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u="sng"/>
            <a:t>Insights</a:t>
          </a:r>
          <a:r>
            <a:rPr lang="en-IN" sz="1400" b="1" u="sng" baseline="0"/>
            <a:t> for all the above Graphs combined:</a:t>
          </a:r>
        </a:p>
        <a:p>
          <a:br>
            <a:rPr lang="en-IN" sz="1400" b="1"/>
          </a:br>
          <a:r>
            <a:rPr lang="en-IN" sz="1400" b="1"/>
            <a:t>1) From the first graph, CPI shows a marked upward shift post-2020, highlighting the inflationary pressures triggered by the Covid-19 pandemic and its economic aftermath.</a:t>
          </a:r>
        </a:p>
        <a:p>
          <a:endParaRPr lang="en-IN" sz="1400" b="1"/>
        </a:p>
        <a:p>
          <a:r>
            <a:rPr lang="en-IN" sz="1400" b="1"/>
            <a:t>2) From the second graph, CPI increased notably across all categories post-Covid, with the sharpest rise observed in Food and Lifestyle segments.</a:t>
          </a:r>
        </a:p>
        <a:p>
          <a:endParaRPr lang="en-IN" sz="1400" b="1"/>
        </a:p>
        <a:p>
          <a:r>
            <a:rPr lang="en-IN" sz="1400" b="1"/>
            <a:t>3) During COVID, spending increased across all categories, with Health and Luxury seeing the highest rises, followed by Lifestyle, Food, and Essentials.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320040</xdr:colOff>
      <xdr:row>32</xdr:row>
      <xdr:rowOff>60960</xdr:rowOff>
    </xdr:from>
    <xdr:ext cx="8801100" cy="29260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E3E53E-7237-4B2F-47BD-6355B4EF9761}"/>
            </a:ext>
          </a:extLst>
        </xdr:cNvPr>
        <xdr:cNvSpPr txBox="1"/>
      </xdr:nvSpPr>
      <xdr:spPr>
        <a:xfrm>
          <a:off x="3268980" y="5913120"/>
          <a:ext cx="8801100" cy="2926080"/>
        </a:xfrm>
        <a:prstGeom prst="rect">
          <a:avLst/>
        </a:prstGeom>
        <a:gradFill>
          <a:gsLst>
            <a:gs pos="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u="sng"/>
            <a:t>Insights:</a:t>
          </a:r>
        </a:p>
        <a:p>
          <a:endParaRPr lang="en-IN" sz="1400" b="1" u="sng"/>
        </a:p>
        <a:p>
          <a:r>
            <a:rPr lang="en-IN" sz="1400" b="1"/>
            <a:t>1) Strong positive correlation</a:t>
          </a:r>
          <a:r>
            <a:rPr lang="en-IN" sz="1400"/>
            <a:t> with crude oil CPI is seen in categories like </a:t>
          </a:r>
          <a:r>
            <a:rPr lang="en-IN" sz="1400" b="1"/>
            <a:t>Meat &amp; Fish</a:t>
          </a:r>
          <a:r>
            <a:rPr lang="en-IN" sz="1400"/>
            <a:t>, </a:t>
          </a:r>
          <a:r>
            <a:rPr lang="en-IN" sz="1400" b="1"/>
            <a:t>Oils &amp; Fats</a:t>
          </a:r>
          <a:r>
            <a:rPr lang="en-IN" sz="1400"/>
            <a:t>, and </a:t>
          </a:r>
          <a:r>
            <a:rPr lang="en-IN" sz="1400" b="1"/>
            <a:t>Fuel &amp; Light</a:t>
          </a:r>
          <a:r>
            <a:rPr lang="en-IN" sz="1400"/>
            <a:t>,</a:t>
          </a:r>
          <a:r>
            <a:rPr lang="en-IN" sz="1400" b="1"/>
            <a:t>Transport</a:t>
          </a:r>
          <a:r>
            <a:rPr lang="en-IN" sz="1400" b="1" baseline="0"/>
            <a:t> &amp; Communication</a:t>
          </a:r>
          <a:r>
            <a:rPr lang="en-IN" sz="1400" b="1"/>
            <a:t> </a:t>
          </a:r>
          <a:r>
            <a:rPr lang="en-IN" sz="1400"/>
            <a:t>indicating high sensitivity to oil price changes due to energy-intensive production and transport.</a:t>
          </a:r>
        </a:p>
        <a:p>
          <a:endParaRPr lang="en-IN" sz="1400"/>
        </a:p>
        <a:p>
          <a:r>
            <a:rPr lang="en-IN" sz="1400" b="1"/>
            <a:t>2)Moderate correlation</a:t>
          </a:r>
          <a:r>
            <a:rPr lang="en-IN" sz="1400"/>
            <a:t> is observed in categories such as </a:t>
          </a:r>
          <a:r>
            <a:rPr lang="en-IN" sz="1400" b="1"/>
            <a:t>Food &amp; Beverages</a:t>
          </a:r>
          <a:r>
            <a:rPr lang="en-IN" sz="1400"/>
            <a:t>, </a:t>
          </a:r>
          <a:r>
            <a:rPr lang="en-IN" sz="1400" b="1"/>
            <a:t>Clothing</a:t>
          </a:r>
          <a:r>
            <a:rPr lang="en-IN" sz="1400"/>
            <a:t>, and </a:t>
          </a:r>
          <a:r>
            <a:rPr lang="en-IN" sz="1400" b="1"/>
            <a:t>Housing</a:t>
          </a:r>
          <a:r>
            <a:rPr lang="en-IN" sz="1400"/>
            <a:t>, suggesting indirect cost impacts from crude oil.</a:t>
          </a:r>
        </a:p>
        <a:p>
          <a:endParaRPr lang="en-IN" sz="1400"/>
        </a:p>
        <a:p>
          <a:r>
            <a:rPr lang="en-IN" sz="1400" b="1"/>
            <a:t>3)Eggs</a:t>
          </a:r>
          <a:r>
            <a:rPr lang="en-IN" sz="1400"/>
            <a:t> show a </a:t>
          </a:r>
          <a:r>
            <a:rPr lang="en-IN" sz="1400" b="1"/>
            <a:t>weak negative correlation</a:t>
          </a:r>
          <a:r>
            <a:rPr lang="en-IN" sz="1400"/>
            <a:t>, likely due to localized production and  less oil-dependent supply chains.</a:t>
          </a:r>
        </a:p>
        <a:p>
          <a:endParaRPr lang="en-IN" sz="1400"/>
        </a:p>
        <a:p>
          <a:r>
            <a:rPr lang="en-IN" sz="1400" b="1"/>
            <a:t>#NOTES</a:t>
          </a:r>
          <a:r>
            <a:rPr lang="en-IN" sz="1400"/>
            <a:t>: Overall, </a:t>
          </a:r>
          <a:r>
            <a:rPr lang="en-IN" sz="1400" b="1"/>
            <a:t>essential and energy-linked categories</a:t>
          </a:r>
          <a:r>
            <a:rPr lang="en-IN" sz="1400"/>
            <a:t> are notably impacted by fluctuations in crude oil prices.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5890.516118518521" createdVersion="8" refreshedVersion="8" minRefreshableVersion="3" recordCount="372" xr:uid="{7CB7703E-B6C1-4B82-87F6-3D5078EF9B02}">
  <cacheSource type="worksheet">
    <worksheetSource ref="A1:H373" sheet="Q1"/>
  </cacheSource>
  <cacheFields count="8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Food " numFmtId="0">
      <sharedItems containsSemiMixedTypes="0" containsString="0" containsNumber="1" minValue="1371.6999999999998" maxValue="2335.1"/>
    </cacheField>
    <cacheField name="Energy" numFmtId="0">
      <sharedItems containsSemiMixedTypes="0" containsString="0" containsNumber="1" minValue="105.4" maxValue="183.4"/>
    </cacheField>
    <cacheField name="Transport and communication" numFmtId="0">
      <sharedItems containsSemiMixedTypes="0" containsString="0" containsNumber="1" minValue="103.2" maxValue="169.7"/>
    </cacheField>
    <cacheField name="Education" numFmtId="0">
      <sharedItems containsSemiMixedTypes="0" containsString="0" containsNumber="1" minValue="103.5" maxValue="180.3"/>
    </cacheField>
    <cacheField name="Health" numFmtId="0">
      <sharedItems containsSemiMixedTypes="0" containsString="0" containsNumber="1" minValue="104" maxValue="18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5890.528930902779" createdVersion="8" refreshedVersion="8" minRefreshableVersion="3" recordCount="372" xr:uid="{9DE1DDB8-9E0E-4DB4-92BA-51E934102B16}">
  <cacheSource type="worksheet">
    <worksheetSource ref="A1:AH373" sheet="Cleaned Data"/>
  </cacheSource>
  <cacheFields count="34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Cereals and products" numFmtId="0">
      <sharedItems containsSemiMixedTypes="0" containsString="0" containsNumber="1" minValue="107.5" maxValue="174.8" count="255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0000000000001"/>
        <n v="128.5"/>
        <n v="130.1"/>
        <n v="130.80000000000001"/>
        <n v="128.1"/>
        <n v="129.9"/>
        <n v="131.30000000000001"/>
        <n v="128.69999999999999"/>
        <n v="130.5"/>
        <n v="132"/>
        <n v="130.19999999999999"/>
        <n v="131.4"/>
        <n v="132.6"/>
        <n v="131.6"/>
        <n v="132.30000000000001"/>
        <n v="133.1"/>
        <n v="132.19999999999999"/>
        <n v="132.80000000000001"/>
        <n v="133.30000000000001"/>
        <n v="133.6"/>
        <n v="132.69999999999999"/>
        <n v="133.19999999999999"/>
        <n v="133"/>
        <n v="132.9"/>
        <n v="133.5"/>
        <n v="134"/>
        <n v="134.80000000000001"/>
        <n v="134.30000000000001"/>
        <n v="135.19999999999999"/>
        <n v="134.69999999999999"/>
        <n v="135.9"/>
        <n v="133.9"/>
        <n v="135.30000000000001"/>
        <n v="136.30000000000001"/>
        <n v="135.69999999999999"/>
        <n v="136.4"/>
        <n v="134.4"/>
        <n v="135.80000000000001"/>
        <n v="136.6"/>
        <n v="134.6"/>
        <n v="136"/>
        <n v="136.80000000000001"/>
        <n v="135"/>
        <n v="136.19999999999999"/>
        <n v="137.1"/>
        <n v="137.4"/>
        <n v="137.6"/>
        <n v="136.9"/>
        <n v="138.4"/>
        <n v="135.6"/>
        <n v="137.5"/>
        <n v="139.19999999999999"/>
        <n v="136.5"/>
        <n v="138.30000000000001"/>
        <n v="139.4"/>
        <n v="137"/>
        <n v="138.6"/>
        <n v="139.30000000000001"/>
        <n v="138.1"/>
        <n v="138.5"/>
        <n v="139.69999999999999"/>
        <n v="137.80000000000001"/>
        <n v="140.4"/>
        <n v="140.69999999999999"/>
        <n v="138.69999999999999"/>
        <n v="141.4"/>
        <n v="142.1"/>
        <n v="140.1"/>
        <n v="142.69999999999999"/>
        <n v="140.9"/>
        <n v="141"/>
        <n v="143.5"/>
        <n v="141.80000000000001"/>
        <n v="144.1"/>
        <n v="142.5"/>
        <n v="142.80000000000001"/>
        <n v="144.9"/>
        <n v="143.69999999999999"/>
        <n v="145.6"/>
        <n v="144.30000000000001"/>
        <n v="144.19999999999999"/>
        <n v="146.19999999999999"/>
        <n v="144.80000000000001"/>
        <n v="144.4"/>
        <n v="146.5"/>
        <n v="145.1"/>
        <n v="147.19999999999999"/>
        <n v="151.80000000000001"/>
        <n v="148.69999999999999"/>
        <n v="145.80000000000001"/>
        <n v="149.15"/>
        <n v="146.89999999999998"/>
        <n v="148.19999999999999"/>
        <n v="152.69999999999999"/>
        <n v="149.6"/>
        <n v="147.6"/>
        <n v="151.6"/>
        <n v="148.9"/>
        <n v="146.9"/>
        <n v="151.5"/>
        <n v="148.4"/>
        <n v="146"/>
        <n v="150.6"/>
        <n v="147.5"/>
        <n v="145.4"/>
        <n v="149.69999999999999"/>
        <n v="146.80000000000001"/>
        <n v="144.6"/>
        <n v="149"/>
        <n v="143.4"/>
        <n v="148"/>
        <n v="148.80000000000001"/>
        <n v="146.30000000000001"/>
        <n v="149.19999999999999"/>
        <n v="146.69999999999999"/>
        <n v="149.1"/>
        <n v="146.4"/>
        <n v="149.30000000000001"/>
        <n v="146.6"/>
        <n v="146.1"/>
        <n v="150.1"/>
        <n v="147.4"/>
        <n v="151"/>
        <n v="148.30000000000001"/>
        <n v="152.19999999999999"/>
        <n v="149.5"/>
        <n v="152.5"/>
        <n v="150"/>
        <n v="150.19999999999999"/>
        <n v="153.69999999999999"/>
        <n v="151.30000000000001"/>
        <n v="155.4"/>
        <n v="152.9"/>
        <n v="156.69999999999999"/>
        <n v="154.1"/>
        <n v="153.80000000000001"/>
        <n v="157.5"/>
        <n v="155"/>
        <n v="155.19999999999999"/>
        <n v="159.30000000000001"/>
        <n v="156.5"/>
        <n v="159.5"/>
        <n v="162.1"/>
        <n v="160.30000000000001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</sharedItems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tring="0" containsBlank="1" containsNumber="1" minValue="100.3" maxValue="175.6"/>
    </cacheField>
    <cacheField name="Housing_New" numFmtId="0">
      <sharedItems containsSemiMixedTypes="0" containsString="0" containsNumber="1" minValue="0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  <cacheField name="Broder Food Category" numFmtId="0">
      <sharedItems containsSemiMixedTypes="0" containsString="0" containsNumber="1" minValue="1371.6999999999998" maxValue="2335.1"/>
    </cacheField>
    <cacheField name="Clothing Footware" numFmtId="0">
      <sharedItems containsSemiMixedTypes="0" containsString="0" containsNumber="1" minValue="316.7" maxValue="569.90000000000009"/>
    </cacheField>
    <cacheField name="Luxury" numFmtId="0">
      <sharedItems containsSemiMixedTypes="0" containsString="0" containsNumber="1" minValue="208.10000000000002" maxValue="373.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5890.639183101855" createdVersion="8" refreshedVersion="8" minRefreshableVersion="3" recordCount="372" xr:uid="{3BCA1C55-107D-4658-BADA-3AFB9FFC46D5}">
  <cacheSource type="worksheet">
    <worksheetSource ref="A1:J373" sheet="Q4"/>
  </cacheSource>
  <cacheFields count="10">
    <cacheField name="Year" numFmtId="0">
      <sharedItems containsSemiMixedTypes="0" containsString="0" containsNumber="1" containsInteger="1" minValue="2013" maxValue="2023"/>
    </cacheField>
    <cacheField name="Month" numFmtId="0">
      <sharedItems/>
    </cacheField>
    <cacheField name=" Food " numFmtId="0">
      <sharedItems containsSemiMixedTypes="0" containsString="0" containsNumber="1" minValue="1371.6999999999998" maxValue="2335.1"/>
    </cacheField>
    <cacheField name="Health" numFmtId="0">
      <sharedItems containsSemiMixedTypes="0" containsString="0" containsNumber="1" minValue="104" maxValue="187.8"/>
    </cacheField>
    <cacheField name="Essential" numFmtId="0">
      <sharedItems containsSemiMixedTypes="0" containsString="0" containsNumber="1" minValue="291.67500000000001" maxValue="538.40000000000009"/>
    </cacheField>
    <cacheField name="Luxury" numFmtId="0">
      <sharedItems containsSemiMixedTypes="0" containsString="0" containsNumber="1" minValue="208.10000000000002" maxValue="373.70000000000005"/>
    </cacheField>
    <cacheField name="Life style" numFmtId="0">
      <sharedItems containsSemiMixedTypes="0" containsString="0" containsNumber="1" minValue="732.7" maxValue="1283.8000000000002"/>
    </cacheField>
    <cacheField name="Month2" numFmtId="0">
      <sharedItems containsSemiMixedTypes="0" containsString="0" containsNumber="1" containsInteger="1" minValue="1" maxValue="12"/>
    </cacheField>
    <cacheField name="Date" numFmtId="14">
      <sharedItems containsSemiMixedTypes="0" containsNonDate="0" containsDate="1" containsString="0" minDate="2013-01-01T00:00:00" maxDate="2023-05-02T00:00:00"/>
    </cacheField>
    <cacheField name="Pre Or Post Covid" numFmtId="0">
      <sharedItems count="2">
        <s v="Pre Covid"/>
        <s v="Post Cov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371.6999999999998"/>
    <n v="105.5"/>
    <n v="103.3"/>
    <n v="103.8"/>
    <n v="104"/>
  </r>
  <r>
    <x v="1"/>
    <x v="0"/>
    <x v="0"/>
    <n v="1376.4"/>
    <n v="105.4"/>
    <n v="103.2"/>
    <n v="103.5"/>
    <n v="104.1"/>
  </r>
  <r>
    <x v="2"/>
    <x v="0"/>
    <x v="0"/>
    <n v="1373.3000000000002"/>
    <n v="105.5"/>
    <n v="103.2"/>
    <n v="103.6"/>
    <n v="104"/>
  </r>
  <r>
    <x v="0"/>
    <x v="0"/>
    <x v="1"/>
    <n v="1380.3999999999999"/>
    <n v="106.2"/>
    <n v="103.9"/>
    <n v="104.1"/>
    <n v="104.4"/>
  </r>
  <r>
    <x v="1"/>
    <x v="0"/>
    <x v="1"/>
    <n v="1390.6000000000001"/>
    <n v="105.7"/>
    <n v="104.4"/>
    <n v="103.7"/>
    <n v="104.7"/>
  </r>
  <r>
    <x v="2"/>
    <x v="0"/>
    <x v="1"/>
    <n v="1384.2"/>
    <n v="106"/>
    <n v="104.2"/>
    <n v="103.9"/>
    <n v="104.5"/>
  </r>
  <r>
    <x v="0"/>
    <x v="0"/>
    <x v="2"/>
    <n v="1382.2"/>
    <n v="106.1"/>
    <n v="104.6"/>
    <n v="104.3"/>
    <n v="104.7"/>
  </r>
  <r>
    <x v="1"/>
    <x v="0"/>
    <x v="2"/>
    <n v="1386.8"/>
    <n v="106"/>
    <n v="105.5"/>
    <n v="103.8"/>
    <n v="105.2"/>
  </r>
  <r>
    <x v="2"/>
    <x v="0"/>
    <x v="2"/>
    <n v="1384.0000000000002"/>
    <n v="106.1"/>
    <n v="105.1"/>
    <n v="104"/>
    <n v="104.9"/>
  </r>
  <r>
    <x v="0"/>
    <x v="0"/>
    <x v="3"/>
    <n v="1385.8"/>
    <n v="106.5"/>
    <n v="104.4"/>
    <n v="104.8"/>
    <n v="105.1"/>
  </r>
  <r>
    <x v="1"/>
    <x v="0"/>
    <x v="3"/>
    <n v="1397.6999999999998"/>
    <n v="106.4"/>
    <n v="105"/>
    <n v="105.2"/>
    <n v="105.7"/>
  </r>
  <r>
    <x v="2"/>
    <x v="0"/>
    <x v="3"/>
    <n v="1390.2"/>
    <n v="106.5"/>
    <n v="104.7"/>
    <n v="105"/>
    <n v="105.3"/>
  </r>
  <r>
    <x v="0"/>
    <x v="0"/>
    <x v="4"/>
    <n v="1394"/>
    <n v="107.5"/>
    <n v="104.1"/>
    <n v="105.5"/>
    <n v="105.7"/>
  </r>
  <r>
    <x v="1"/>
    <x v="0"/>
    <x v="4"/>
    <n v="1417.1999999999998"/>
    <n v="107.2"/>
    <n v="103.9"/>
    <n v="105.7"/>
    <n v="106.2"/>
  </r>
  <r>
    <x v="2"/>
    <x v="0"/>
    <x v="4"/>
    <n v="1402.1999999999998"/>
    <n v="107.4"/>
    <n v="104"/>
    <n v="105.6"/>
    <n v="105.9"/>
  </r>
  <r>
    <x v="0"/>
    <x v="0"/>
    <x v="5"/>
    <n v="1420"/>
    <n v="108.5"/>
    <n v="105"/>
    <n v="106.5"/>
    <n v="106.3"/>
  </r>
  <r>
    <x v="1"/>
    <x v="0"/>
    <x v="5"/>
    <n v="1464.6000000000001"/>
    <n v="108"/>
    <n v="105.2"/>
    <n v="108.1"/>
    <n v="106.5"/>
  </r>
  <r>
    <x v="2"/>
    <x v="0"/>
    <x v="5"/>
    <n v="1436"/>
    <n v="108.3"/>
    <n v="105.1"/>
    <n v="107.4"/>
    <n v="106.4"/>
  </r>
  <r>
    <x v="0"/>
    <x v="0"/>
    <x v="6"/>
    <n v="1445.8999999999996"/>
    <n v="109.5"/>
    <n v="106.8"/>
    <n v="107.8"/>
    <n v="106.9"/>
  </r>
  <r>
    <x v="1"/>
    <x v="0"/>
    <x v="6"/>
    <n v="1489.4"/>
    <n v="108.6"/>
    <n v="107.3"/>
    <n v="110.1"/>
    <n v="107.1"/>
  </r>
  <r>
    <x v="2"/>
    <x v="0"/>
    <x v="6"/>
    <n v="1461.3999999999999"/>
    <n v="109.2"/>
    <n v="107.1"/>
    <n v="109.1"/>
    <n v="107"/>
  </r>
  <r>
    <x v="0"/>
    <x v="0"/>
    <x v="7"/>
    <n v="1462.5"/>
    <n v="109.9"/>
    <n v="107.8"/>
    <n v="108.7"/>
    <n v="107.5"/>
  </r>
  <r>
    <x v="1"/>
    <x v="0"/>
    <x v="7"/>
    <n v="1506.1000000000001"/>
    <n v="109.3"/>
    <n v="108.1"/>
    <n v="110.8"/>
    <n v="107.6"/>
  </r>
  <r>
    <x v="2"/>
    <x v="0"/>
    <x v="7"/>
    <n v="1477.4"/>
    <n v="109.7"/>
    <n v="108"/>
    <n v="109.9"/>
    <n v="107.5"/>
  </r>
  <r>
    <x v="0"/>
    <x v="0"/>
    <x v="8"/>
    <n v="1488.5000000000002"/>
    <n v="111.1"/>
    <n v="109.3"/>
    <n v="109.8"/>
    <n v="108.3"/>
  </r>
  <r>
    <x v="1"/>
    <x v="0"/>
    <x v="8"/>
    <n v="1500.4"/>
    <n v="109.5"/>
    <n v="110.4"/>
    <n v="111.2"/>
    <n v="107.9"/>
  </r>
  <r>
    <x v="2"/>
    <x v="0"/>
    <x v="8"/>
    <n v="1491.6999999999998"/>
    <n v="110.5"/>
    <n v="109.9"/>
    <n v="110.6"/>
    <n v="108.1"/>
  </r>
  <r>
    <x v="0"/>
    <x v="0"/>
    <x v="9"/>
    <n v="1508"/>
    <n v="111.6"/>
    <n v="109.3"/>
    <n v="110.2"/>
    <n v="108.9"/>
  </r>
  <r>
    <x v="1"/>
    <x v="0"/>
    <x v="9"/>
    <n v="1517.1999999999998"/>
    <n v="109.7"/>
    <n v="109.7"/>
    <n v="111.3"/>
    <n v="108.2"/>
  </r>
  <r>
    <x v="2"/>
    <x v="0"/>
    <x v="9"/>
    <n v="1510.2000000000003"/>
    <n v="110.9"/>
    <n v="109.5"/>
    <n v="110.8"/>
    <n v="108.6"/>
  </r>
  <r>
    <x v="0"/>
    <x v="0"/>
    <x v="10"/>
    <n v="1536.8"/>
    <n v="112.6"/>
    <n v="109.6"/>
    <n v="111"/>
    <n v="109.7"/>
  </r>
  <r>
    <x v="1"/>
    <x v="0"/>
    <x v="11"/>
    <n v="1544.6"/>
    <n v="110"/>
    <n v="109.5"/>
    <n v="111.3"/>
    <n v="108.6"/>
  </r>
  <r>
    <x v="2"/>
    <x v="0"/>
    <x v="11"/>
    <n v="1538.8"/>
    <n v="111.6"/>
    <n v="109.5"/>
    <n v="111.2"/>
    <n v="109.3"/>
  </r>
  <r>
    <x v="0"/>
    <x v="0"/>
    <x v="12"/>
    <n v="1509"/>
    <n v="112.8"/>
    <n v="109.9"/>
    <n v="111.6"/>
    <n v="110.1"/>
  </r>
  <r>
    <x v="1"/>
    <x v="0"/>
    <x v="12"/>
    <n v="1504.4"/>
    <n v="110.4"/>
    <n v="109.7"/>
    <n v="111.4"/>
    <n v="109"/>
  </r>
  <r>
    <x v="2"/>
    <x v="0"/>
    <x v="12"/>
    <n v="1507.3000000000002"/>
    <n v="111.9"/>
    <n v="109.8"/>
    <n v="111.5"/>
    <n v="109.7"/>
  </r>
  <r>
    <x v="0"/>
    <x v="1"/>
    <x v="0"/>
    <n v="1486.6000000000001"/>
    <n v="113"/>
    <n v="110.5"/>
    <n v="111.8"/>
    <n v="110.6"/>
  </r>
  <r>
    <x v="1"/>
    <x v="1"/>
    <x v="0"/>
    <n v="1484.3"/>
    <n v="111"/>
    <n v="110.8"/>
    <n v="111.5"/>
    <n v="109.7"/>
  </r>
  <r>
    <x v="2"/>
    <x v="1"/>
    <x v="0"/>
    <n v="1485.7999999999997"/>
    <n v="112.2"/>
    <n v="110.7"/>
    <n v="111.6"/>
    <n v="110.3"/>
  </r>
  <r>
    <x v="0"/>
    <x v="1"/>
    <x v="1"/>
    <n v="1482.2"/>
    <n v="113.2"/>
    <n v="110.8"/>
    <n v="112"/>
    <n v="110.9"/>
  </r>
  <r>
    <x v="1"/>
    <x v="1"/>
    <x v="1"/>
    <n v="1476"/>
    <n v="111.1"/>
    <n v="111.3"/>
    <n v="111.6"/>
    <n v="110.4"/>
  </r>
  <r>
    <x v="2"/>
    <x v="1"/>
    <x v="1"/>
    <n v="1480.1"/>
    <n v="112.4"/>
    <n v="111.1"/>
    <n v="111.8"/>
    <n v="110.7"/>
  </r>
  <r>
    <x v="0"/>
    <x v="1"/>
    <x v="2"/>
    <n v="1491.4"/>
    <n v="113.4"/>
    <n v="111.2"/>
    <n v="112.4"/>
    <n v="111.4"/>
  </r>
  <r>
    <x v="1"/>
    <x v="1"/>
    <x v="2"/>
    <n v="1483"/>
    <n v="110.9"/>
    <n v="111.6"/>
    <n v="111.8"/>
    <n v="110.8"/>
  </r>
  <r>
    <x v="2"/>
    <x v="1"/>
    <x v="2"/>
    <n v="1488.2999999999997"/>
    <n v="112.5"/>
    <n v="111.4"/>
    <n v="112"/>
    <n v="111.2"/>
  </r>
  <r>
    <x v="0"/>
    <x v="1"/>
    <x v="3"/>
    <n v="1504.1000000000001"/>
    <n v="113.4"/>
    <n v="111.2"/>
    <n v="113"/>
    <n v="111.8"/>
  </r>
  <r>
    <x v="1"/>
    <x v="1"/>
    <x v="3"/>
    <n v="1504.0000000000002"/>
    <n v="110.9"/>
    <n v="111.2"/>
    <n v="112.5"/>
    <n v="111"/>
  </r>
  <r>
    <x v="2"/>
    <x v="1"/>
    <x v="3"/>
    <n v="1504.1"/>
    <n v="112.5"/>
    <n v="111.2"/>
    <n v="112.7"/>
    <n v="111.5"/>
  </r>
  <r>
    <x v="0"/>
    <x v="1"/>
    <x v="4"/>
    <n v="1513.8999999999999"/>
    <n v="113.4"/>
    <n v="111.4"/>
    <n v="113.1"/>
    <n v="112.1"/>
  </r>
  <r>
    <x v="1"/>
    <x v="1"/>
    <x v="4"/>
    <n v="1525.3000000000002"/>
    <n v="111.1"/>
    <n v="111.3"/>
    <n v="112.9"/>
    <n v="111.2"/>
  </r>
  <r>
    <x v="2"/>
    <x v="1"/>
    <x v="4"/>
    <n v="1518.5000000000005"/>
    <n v="112.5"/>
    <n v="111.3"/>
    <n v="113"/>
    <n v="111.8"/>
  </r>
  <r>
    <x v="0"/>
    <x v="1"/>
    <x v="5"/>
    <n v="1525.6999999999998"/>
    <n v="114.4"/>
    <n v="112.2"/>
    <n v="114.3"/>
    <n v="112.8"/>
  </r>
  <r>
    <x v="1"/>
    <x v="1"/>
    <x v="5"/>
    <n v="1547"/>
    <n v="111.2"/>
    <n v="111.5"/>
    <n v="115.1"/>
    <n v="111.4"/>
  </r>
  <r>
    <x v="2"/>
    <x v="1"/>
    <x v="5"/>
    <n v="1533.7000000000003"/>
    <n v="113.2"/>
    <n v="111.8"/>
    <n v="114.8"/>
    <n v="112.3"/>
  </r>
  <r>
    <x v="0"/>
    <x v="1"/>
    <x v="6"/>
    <n v="1563.2"/>
    <n v="115.3"/>
    <n v="113.2"/>
    <n v="115.5"/>
    <n v="113.4"/>
  </r>
  <r>
    <x v="1"/>
    <x v="1"/>
    <x v="6"/>
    <n v="1599.5"/>
    <n v="111.6"/>
    <n v="113"/>
    <n v="117.8"/>
    <n v="111.5"/>
  </r>
  <r>
    <x v="2"/>
    <x v="1"/>
    <x v="6"/>
    <n v="1576.3"/>
    <n v="113.9"/>
    <n v="113.1"/>
    <n v="116.8"/>
    <n v="112.7"/>
  </r>
  <r>
    <x v="0"/>
    <x v="1"/>
    <x v="7"/>
    <n v="1582.2999999999997"/>
    <n v="115.4"/>
    <n v="113.2"/>
    <n v="116.2"/>
    <n v="114"/>
  </r>
  <r>
    <x v="1"/>
    <x v="1"/>
    <x v="7"/>
    <n v="1617"/>
    <n v="111.8"/>
    <n v="112.5"/>
    <n v="119.2"/>
    <n v="112.2"/>
  </r>
  <r>
    <x v="2"/>
    <x v="1"/>
    <x v="7"/>
    <n v="1594.4999999999998"/>
    <n v="114"/>
    <n v="112.8"/>
    <n v="118"/>
    <n v="113.3"/>
  </r>
  <r>
    <x v="0"/>
    <x v="1"/>
    <x v="8"/>
    <n v="1583.2"/>
    <n v="115.8"/>
    <n v="112.8"/>
    <n v="116.6"/>
    <n v="114.5"/>
  </r>
  <r>
    <x v="1"/>
    <x v="1"/>
    <x v="8"/>
    <n v="1593.7000000000003"/>
    <n v="111.8"/>
    <n v="111.2"/>
    <n v="120"/>
    <n v="112.3"/>
  </r>
  <r>
    <x v="2"/>
    <x v="1"/>
    <x v="8"/>
    <n v="1586.0999999999997"/>
    <n v="114.3"/>
    <n v="112"/>
    <n v="118.6"/>
    <n v="113.7"/>
  </r>
  <r>
    <x v="0"/>
    <x v="1"/>
    <x v="9"/>
    <n v="1581.1999999999998"/>
    <n v="116.4"/>
    <n v="112.6"/>
    <n v="116.9"/>
    <n v="115.3"/>
  </r>
  <r>
    <x v="1"/>
    <x v="1"/>
    <x v="9"/>
    <n v="1587.5"/>
    <n v="112"/>
    <n v="111"/>
    <n v="120.2"/>
    <n v="112.6"/>
  </r>
  <r>
    <x v="2"/>
    <x v="1"/>
    <x v="9"/>
    <n v="1582.7"/>
    <n v="114.7"/>
    <n v="111.8"/>
    <n v="118.8"/>
    <n v="114.3"/>
  </r>
  <r>
    <x v="0"/>
    <x v="1"/>
    <x v="11"/>
    <n v="1582"/>
    <n v="117.3"/>
    <n v="112"/>
    <n v="117.2"/>
    <n v="115.9"/>
  </r>
  <r>
    <x v="1"/>
    <x v="1"/>
    <x v="11"/>
    <n v="1587.8"/>
    <n v="112.6"/>
    <n v="109.7"/>
    <n v="120.3"/>
    <n v="113"/>
  </r>
  <r>
    <x v="2"/>
    <x v="1"/>
    <x v="11"/>
    <n v="1583.2"/>
    <n v="115.5"/>
    <n v="110.8"/>
    <n v="119"/>
    <n v="114.8"/>
  </r>
  <r>
    <x v="0"/>
    <x v="1"/>
    <x v="12"/>
    <n v="1569.6"/>
    <n v="117.4"/>
    <n v="111.5"/>
    <n v="117.7"/>
    <n v="116.2"/>
  </r>
  <r>
    <x v="1"/>
    <x v="1"/>
    <x v="12"/>
    <n v="1577.1999999999998"/>
    <n v="113"/>
    <n v="108.8"/>
    <n v="120.7"/>
    <n v="113.2"/>
  </r>
  <r>
    <x v="2"/>
    <x v="1"/>
    <x v="12"/>
    <n v="1571.6999999999998"/>
    <n v="115.7"/>
    <n v="110.1"/>
    <n v="119.5"/>
    <n v="115.1"/>
  </r>
  <r>
    <x v="0"/>
    <x v="2"/>
    <x v="0"/>
    <n v="1568.1"/>
    <n v="118.4"/>
    <n v="111"/>
    <n v="118.2"/>
    <n v="116.6"/>
  </r>
  <r>
    <x v="1"/>
    <x v="2"/>
    <x v="0"/>
    <n v="1574.8999999999999"/>
    <n v="113.4"/>
    <n v="107.9"/>
    <n v="120.8"/>
    <n v="113.7"/>
  </r>
  <r>
    <x v="2"/>
    <x v="2"/>
    <x v="0"/>
    <n v="1569.3"/>
    <n v="116.5"/>
    <n v="109.4"/>
    <n v="119.7"/>
    <n v="115.5"/>
  </r>
  <r>
    <x v="0"/>
    <x v="2"/>
    <x v="1"/>
    <n v="1570.5999999999997"/>
    <n v="120"/>
    <n v="110.9"/>
    <n v="118.7"/>
    <n v="117.7"/>
  </r>
  <r>
    <x v="1"/>
    <x v="2"/>
    <x v="1"/>
    <n v="1571.1000000000001"/>
    <n v="114"/>
    <n v="106.8"/>
    <n v="120.4"/>
    <n v="114.1"/>
  </r>
  <r>
    <x v="2"/>
    <x v="2"/>
    <x v="1"/>
    <n v="1569.3999999999996"/>
    <n v="117.7"/>
    <n v="108.7"/>
    <n v="119.7"/>
    <n v="116.3"/>
  </r>
  <r>
    <x v="0"/>
    <x v="2"/>
    <x v="2"/>
    <n v="1571.5"/>
    <n v="120.6"/>
    <n v="111.6"/>
    <n v="119.4"/>
    <n v="118.2"/>
  </r>
  <r>
    <x v="1"/>
    <x v="2"/>
    <x v="2"/>
    <n v="1568.0000000000002"/>
    <n v="114.4"/>
    <n v="108.4"/>
    <n v="120.6"/>
    <n v="114.3"/>
  </r>
  <r>
    <x v="2"/>
    <x v="2"/>
    <x v="2"/>
    <n v="1569.1"/>
    <n v="118.3"/>
    <n v="109.9"/>
    <n v="120.1"/>
    <n v="116.7"/>
  </r>
  <r>
    <x v="0"/>
    <x v="2"/>
    <x v="3"/>
    <n v="1577.2"/>
    <n v="121.2"/>
    <n v="111.9"/>
    <n v="119.9"/>
    <n v="118.6"/>
  </r>
  <r>
    <x v="1"/>
    <x v="2"/>
    <x v="3"/>
    <n v="1576.1"/>
    <n v="114.7"/>
    <n v="108.4"/>
    <n v="121.7"/>
    <n v="114.6"/>
  </r>
  <r>
    <x v="2"/>
    <x v="2"/>
    <x v="3"/>
    <n v="1575.7"/>
    <n v="118.7"/>
    <n v="110.1"/>
    <n v="121"/>
    <n v="117.1"/>
  </r>
  <r>
    <x v="0"/>
    <x v="2"/>
    <x v="4"/>
    <n v="1587.7"/>
    <n v="121.9"/>
    <n v="113.3"/>
    <n v="120.5"/>
    <n v="119.4"/>
  </r>
  <r>
    <x v="1"/>
    <x v="2"/>
    <x v="4"/>
    <n v="1598.9"/>
    <n v="114.9"/>
    <n v="110.8"/>
    <n v="122"/>
    <n v="114.9"/>
  </r>
  <r>
    <x v="2"/>
    <x v="2"/>
    <x v="4"/>
    <n v="1590.4"/>
    <n v="119.2"/>
    <n v="112"/>
    <n v="121.4"/>
    <n v="117.7"/>
  </r>
  <r>
    <x v="0"/>
    <x v="2"/>
    <x v="5"/>
    <n v="1617.8999999999999"/>
    <n v="122.6"/>
    <n v="114.2"/>
    <n v="122"/>
    <n v="120.4"/>
  </r>
  <r>
    <x v="1"/>
    <x v="2"/>
    <x v="5"/>
    <n v="1636.6"/>
    <n v="115.1"/>
    <n v="111.7"/>
    <n v="123.8"/>
    <n v="115.4"/>
  </r>
  <r>
    <x v="2"/>
    <x v="2"/>
    <x v="5"/>
    <n v="1623.5"/>
    <n v="119.8"/>
    <n v="112.9"/>
    <n v="123.1"/>
    <n v="118.5"/>
  </r>
  <r>
    <x v="0"/>
    <x v="2"/>
    <x v="6"/>
    <n v="1625.3"/>
    <n v="123"/>
    <n v="114.1"/>
    <n v="122.9"/>
    <n v="120.8"/>
  </r>
  <r>
    <x v="1"/>
    <x v="2"/>
    <x v="6"/>
    <n v="1642.8999999999999"/>
    <n v="115.3"/>
    <n v="111.5"/>
    <n v="125.4"/>
    <n v="116"/>
  </r>
  <r>
    <x v="2"/>
    <x v="2"/>
    <x v="6"/>
    <n v="1630.6000000000001"/>
    <n v="120.1"/>
    <n v="112.7"/>
    <n v="124.4"/>
    <n v="119"/>
  </r>
  <r>
    <x v="0"/>
    <x v="2"/>
    <x v="7"/>
    <n v="1646.6"/>
    <n v="123.8"/>
    <n v="113.6"/>
    <n v="123.6"/>
    <n v="121.1"/>
  </r>
  <r>
    <x v="1"/>
    <x v="2"/>
    <x v="7"/>
    <n v="1658.8999999999999"/>
    <n v="115.3"/>
    <n v="109.9"/>
    <n v="126.2"/>
    <n v="116.6"/>
  </r>
  <r>
    <x v="2"/>
    <x v="2"/>
    <x v="7"/>
    <n v="1649.6"/>
    <n v="120.6"/>
    <n v="111.7"/>
    <n v="125.1"/>
    <n v="119.4"/>
  </r>
  <r>
    <x v="0"/>
    <x v="2"/>
    <x v="8"/>
    <n v="1657.6000000000001"/>
    <n v="123.7"/>
    <n v="113.8"/>
    <n v="124.5"/>
    <n v="121.4"/>
  </r>
  <r>
    <x v="1"/>
    <x v="2"/>
    <x v="8"/>
    <n v="1664.8"/>
    <n v="115.1"/>
    <n v="109.1"/>
    <n v="126.5"/>
    <n v="117.1"/>
  </r>
  <r>
    <x v="2"/>
    <x v="2"/>
    <x v="8"/>
    <n v="1658.3000000000002"/>
    <n v="120.4"/>
    <n v="111.3"/>
    <n v="125.7"/>
    <n v="119.8"/>
  </r>
  <r>
    <x v="0"/>
    <x v="2"/>
    <x v="9"/>
    <n v="1674.6"/>
    <n v="124.4"/>
    <n v="113.8"/>
    <n v="125.1"/>
    <n v="122"/>
  </r>
  <r>
    <x v="1"/>
    <x v="2"/>
    <x v="9"/>
    <n v="1692.8000000000002"/>
    <n v="114.9"/>
    <n v="109.3"/>
    <n v="126.5"/>
    <n v="117.7"/>
  </r>
  <r>
    <x v="2"/>
    <x v="2"/>
    <x v="9"/>
    <n v="1678.9999999999998"/>
    <n v="120.8"/>
    <n v="111.4"/>
    <n v="125.9"/>
    <n v="120.4"/>
  </r>
  <r>
    <x v="0"/>
    <x v="2"/>
    <x v="11"/>
    <n v="1686.3"/>
    <n v="125.6"/>
    <n v="114"/>
    <n v="125.8"/>
    <n v="122.6"/>
  </r>
  <r>
    <x v="1"/>
    <x v="2"/>
    <x v="11"/>
    <n v="1708.4999999999998"/>
    <n v="115.1"/>
    <n v="109.3"/>
    <n v="126.6"/>
    <n v="118.1"/>
  </r>
  <r>
    <x v="2"/>
    <x v="2"/>
    <x v="11"/>
    <n v="1692.1"/>
    <n v="121.6"/>
    <n v="111.5"/>
    <n v="126.3"/>
    <n v="120.9"/>
  </r>
  <r>
    <x v="0"/>
    <x v="2"/>
    <x v="12"/>
    <n v="1682.3000000000002"/>
    <n v="125.7"/>
    <n v="114"/>
    <n v="125.6"/>
    <n v="123.1"/>
  </r>
  <r>
    <x v="1"/>
    <x v="2"/>
    <x v="12"/>
    <n v="1698.8"/>
    <n v="116"/>
    <n v="109.3"/>
    <n v="126.6"/>
    <n v="118.6"/>
  </r>
  <r>
    <x v="2"/>
    <x v="2"/>
    <x v="12"/>
    <n v="1686.1000000000001"/>
    <n v="122"/>
    <n v="111.5"/>
    <n v="126.2"/>
    <n v="121.4"/>
  </r>
  <r>
    <x v="0"/>
    <x v="3"/>
    <x v="0"/>
    <n v="1690.1000000000001"/>
    <n v="126.2"/>
    <n v="113.6"/>
    <n v="126.2"/>
    <n v="123.7"/>
  </r>
  <r>
    <x v="1"/>
    <x v="3"/>
    <x v="0"/>
    <n v="1701.4"/>
    <n v="116.9"/>
    <n v="108.9"/>
    <n v="126.4"/>
    <n v="119.1"/>
  </r>
  <r>
    <x v="2"/>
    <x v="3"/>
    <x v="0"/>
    <n v="1691.7"/>
    <n v="122.7"/>
    <n v="111.1"/>
    <n v="126.3"/>
    <n v="122"/>
  </r>
  <r>
    <x v="0"/>
    <x v="3"/>
    <x v="1"/>
    <n v="1682.6"/>
    <n v="127.5"/>
    <n v="113.9"/>
    <n v="127.1"/>
    <n v="124.3"/>
  </r>
  <r>
    <x v="1"/>
    <x v="3"/>
    <x v="1"/>
    <n v="1676.1"/>
    <n v="116"/>
    <n v="109.1"/>
    <n v="126.3"/>
    <n v="119.5"/>
  </r>
  <r>
    <x v="2"/>
    <x v="3"/>
    <x v="1"/>
    <n v="1678.1"/>
    <n v="123.1"/>
    <n v="111.4"/>
    <n v="126.6"/>
    <n v="122.5"/>
  </r>
  <r>
    <x v="0"/>
    <x v="3"/>
    <x v="2"/>
    <n v="1682.7000000000003"/>
    <n v="127"/>
    <n v="113.6"/>
    <n v="127.5"/>
    <n v="124.8"/>
  </r>
  <r>
    <x v="1"/>
    <x v="3"/>
    <x v="2"/>
    <n v="1667.6000000000001"/>
    <n v="114.8"/>
    <n v="108.5"/>
    <n v="126.4"/>
    <n v="119.7"/>
  </r>
  <r>
    <x v="2"/>
    <x v="3"/>
    <x v="2"/>
    <n v="1675.2"/>
    <n v="122.4"/>
    <n v="110.9"/>
    <n v="126.9"/>
    <n v="122.9"/>
  </r>
  <r>
    <x v="0"/>
    <x v="3"/>
    <x v="3"/>
    <n v="1701.6000000000004"/>
    <n v="127"/>
    <n v="114.4"/>
    <n v="127.9"/>
    <n v="125.2"/>
  </r>
  <r>
    <x v="1"/>
    <x v="3"/>
    <x v="3"/>
    <n v="1706.3"/>
    <n v="114.6"/>
    <n v="110"/>
    <n v="127.6"/>
    <n v="120"/>
  </r>
  <r>
    <x v="2"/>
    <x v="3"/>
    <x v="3"/>
    <n v="1701.3"/>
    <n v="122.3"/>
    <n v="112.1"/>
    <n v="127.7"/>
    <n v="123.2"/>
  </r>
  <r>
    <x v="0"/>
    <x v="3"/>
    <x v="4"/>
    <n v="1723.6999999999998"/>
    <n v="127.4"/>
    <n v="115.1"/>
    <n v="129.1"/>
    <n v="125.8"/>
  </r>
  <r>
    <x v="1"/>
    <x v="3"/>
    <x v="4"/>
    <n v="1746.7999999999997"/>
    <n v="115"/>
    <n v="110.7"/>
    <n v="128"/>
    <n v="120.3"/>
  </r>
  <r>
    <x v="2"/>
    <x v="3"/>
    <x v="4"/>
    <n v="1730.4"/>
    <n v="122.7"/>
    <n v="112.8"/>
    <n v="128.5"/>
    <n v="123.7"/>
  </r>
  <r>
    <x v="0"/>
    <x v="3"/>
    <x v="5"/>
    <n v="1748.6"/>
    <n v="128"/>
    <n v="116.3"/>
    <n v="130.19999999999999"/>
    <n v="126.2"/>
  </r>
  <r>
    <x v="1"/>
    <x v="3"/>
    <x v="5"/>
    <n v="1787.0000000000002"/>
    <n v="115.5"/>
    <n v="112.3"/>
    <n v="129.30000000000001"/>
    <n v="120.6"/>
  </r>
  <r>
    <x v="2"/>
    <x v="3"/>
    <x v="5"/>
    <n v="1760.6"/>
    <n v="123.3"/>
    <n v="114.2"/>
    <n v="129.69999999999999"/>
    <n v="124.1"/>
  </r>
  <r>
    <x v="0"/>
    <x v="3"/>
    <x v="6"/>
    <n v="1770.2999999999997"/>
    <n v="128.19999999999999"/>
    <n v="116.4"/>
    <n v="130.80000000000001"/>
    <n v="126.7"/>
  </r>
  <r>
    <x v="1"/>
    <x v="3"/>
    <x v="6"/>
    <n v="1811.5000000000002"/>
    <n v="115.5"/>
    <n v="111.7"/>
    <n v="130.80000000000001"/>
    <n v="120.9"/>
  </r>
  <r>
    <x v="2"/>
    <x v="3"/>
    <x v="6"/>
    <n v="1783.5"/>
    <n v="123.4"/>
    <n v="113.9"/>
    <n v="130.80000000000001"/>
    <n v="124.5"/>
  </r>
  <r>
    <x v="0"/>
    <x v="3"/>
    <x v="7"/>
    <n v="1777.4999999999998"/>
    <n v="129.1"/>
    <n v="116"/>
    <n v="131.9"/>
    <n v="127"/>
  </r>
  <r>
    <x v="1"/>
    <x v="3"/>
    <x v="7"/>
    <n v="1783.9999999999995"/>
    <n v="114.7"/>
    <n v="110.4"/>
    <n v="131.5"/>
    <n v="121.2"/>
  </r>
  <r>
    <x v="2"/>
    <x v="3"/>
    <x v="7"/>
    <n v="1777.9"/>
    <n v="123.6"/>
    <n v="113.1"/>
    <n v="131.69999999999999"/>
    <n v="124.8"/>
  </r>
  <r>
    <x v="0"/>
    <x v="3"/>
    <x v="8"/>
    <n v="1770.7"/>
    <n v="129.69999999999999"/>
    <n v="117"/>
    <n v="132.19999999999999"/>
    <n v="127.8"/>
  </r>
  <r>
    <x v="1"/>
    <x v="3"/>
    <x v="8"/>
    <n v="1756.3999999999996"/>
    <n v="114.8"/>
    <n v="111.8"/>
    <n v="131.6"/>
    <n v="121.4"/>
  </r>
  <r>
    <x v="2"/>
    <x v="3"/>
    <x v="8"/>
    <n v="1763.6999999999998"/>
    <n v="124.1"/>
    <n v="114.3"/>
    <n v="131.80000000000001"/>
    <n v="125.4"/>
  </r>
  <r>
    <x v="0"/>
    <x v="3"/>
    <x v="9"/>
    <n v="1771.8000000000002"/>
    <n v="129.80000000000001"/>
    <n v="117.8"/>
    <n v="133"/>
    <n v="128.69999999999999"/>
  </r>
  <r>
    <x v="1"/>
    <x v="3"/>
    <x v="9"/>
    <n v="1762.8999999999999"/>
    <n v="115.2"/>
    <n v="112.8"/>
    <n v="131.9"/>
    <n v="121.8"/>
  </r>
  <r>
    <x v="2"/>
    <x v="3"/>
    <x v="9"/>
    <n v="1766.7999999999995"/>
    <n v="124.3"/>
    <n v="115.2"/>
    <n v="132.4"/>
    <n v="126.1"/>
  </r>
  <r>
    <x v="0"/>
    <x v="3"/>
    <x v="11"/>
    <n v="1764.6"/>
    <n v="130.30000000000001"/>
    <n v="118.2"/>
    <n v="133.69999999999999"/>
    <n v="129.1"/>
  </r>
  <r>
    <x v="1"/>
    <x v="3"/>
    <x v="11"/>
    <n v="1755.2"/>
    <n v="116.2"/>
    <n v="113.4"/>
    <n v="132.1"/>
    <n v="122.1"/>
  </r>
  <r>
    <x v="2"/>
    <x v="3"/>
    <x v="11"/>
    <n v="1759.8"/>
    <n v="125"/>
    <n v="115.7"/>
    <n v="132.80000000000001"/>
    <n v="126.4"/>
  </r>
  <r>
    <x v="0"/>
    <x v="3"/>
    <x v="12"/>
    <n v="1749.1"/>
    <n v="132"/>
    <n v="118.6"/>
    <n v="134.19999999999999"/>
    <n v="129.69999999999999"/>
  </r>
  <r>
    <x v="1"/>
    <x v="3"/>
    <x v="12"/>
    <n v="1729.8"/>
    <n v="117.8"/>
    <n v="113.7"/>
    <n v="132.30000000000001"/>
    <n v="122.3"/>
  </r>
  <r>
    <x v="2"/>
    <x v="3"/>
    <x v="12"/>
    <n v="1740.7"/>
    <n v="126.6"/>
    <n v="116"/>
    <n v="133.1"/>
    <n v="126.9"/>
  </r>
  <r>
    <x v="0"/>
    <x v="4"/>
    <x v="0"/>
    <n v="1737.3000000000002"/>
    <n v="132.1"/>
    <n v="119.1"/>
    <n v="134.6"/>
    <n v="129.9"/>
  </r>
  <r>
    <x v="1"/>
    <x v="4"/>
    <x v="0"/>
    <n v="1713.2"/>
    <n v="118"/>
    <n v="115.2"/>
    <n v="132.4"/>
    <n v="122.6"/>
  </r>
  <r>
    <x v="2"/>
    <x v="4"/>
    <x v="0"/>
    <n v="1727.2999999999995"/>
    <n v="126.8"/>
    <n v="117"/>
    <n v="133.30000000000001"/>
    <n v="127.1"/>
  </r>
  <r>
    <x v="0"/>
    <x v="4"/>
    <x v="1"/>
    <n v="1734.5000000000002"/>
    <n v="133.19999999999999"/>
    <n v="119.5"/>
    <n v="134.9"/>
    <n v="130.1"/>
  </r>
  <r>
    <x v="1"/>
    <x v="4"/>
    <x v="1"/>
    <n v="1705.3000000000002"/>
    <n v="119.2"/>
    <n v="115.5"/>
    <n v="132.4"/>
    <n v="122.9"/>
  </r>
  <r>
    <x v="2"/>
    <x v="4"/>
    <x v="1"/>
    <n v="1722.3000000000002"/>
    <n v="127.9"/>
    <n v="117.4"/>
    <n v="133.4"/>
    <n v="127.4"/>
  </r>
  <r>
    <x v="0"/>
    <x v="4"/>
    <x v="2"/>
    <n v="1728.5000000000002"/>
    <n v="134.19999999999999"/>
    <n v="119.8"/>
    <n v="135.19999999999999"/>
    <n v="130.6"/>
  </r>
  <r>
    <x v="1"/>
    <x v="4"/>
    <x v="2"/>
    <n v="1705.6999999999998"/>
    <n v="120.8"/>
    <n v="115.6"/>
    <n v="132.80000000000001"/>
    <n v="123.1"/>
  </r>
  <r>
    <x v="2"/>
    <x v="4"/>
    <x v="2"/>
    <n v="1718.9"/>
    <n v="129.1"/>
    <n v="117.6"/>
    <n v="133.80000000000001"/>
    <n v="127.8"/>
  </r>
  <r>
    <x v="0"/>
    <x v="4"/>
    <x v="3"/>
    <n v="1726.3"/>
    <n v="135"/>
    <n v="119.2"/>
    <n v="135.69999999999999"/>
    <n v="131"/>
  </r>
  <r>
    <x v="1"/>
    <x v="4"/>
    <x v="3"/>
    <n v="1708.1"/>
    <n v="121.4"/>
    <n v="114.3"/>
    <n v="133.6"/>
    <n v="123.4"/>
  </r>
  <r>
    <x v="2"/>
    <x v="4"/>
    <x v="3"/>
    <n v="1718.4"/>
    <n v="129.80000000000001"/>
    <n v="116.6"/>
    <n v="134.5"/>
    <n v="128.1"/>
  </r>
  <r>
    <x v="0"/>
    <x v="4"/>
    <x v="4"/>
    <n v="1727.4999999999995"/>
    <n v="135"/>
    <n v="119.4"/>
    <n v="136.30000000000001"/>
    <n v="131.4"/>
  </r>
  <r>
    <x v="1"/>
    <x v="4"/>
    <x v="4"/>
    <n v="1709.6"/>
    <n v="120.1"/>
    <n v="114.3"/>
    <n v="133.80000000000001"/>
    <n v="123.6"/>
  </r>
  <r>
    <x v="2"/>
    <x v="4"/>
    <x v="4"/>
    <n v="1719.6000000000001"/>
    <n v="129.4"/>
    <n v="116.7"/>
    <n v="134.80000000000001"/>
    <n v="128.4"/>
  </r>
  <r>
    <x v="0"/>
    <x v="4"/>
    <x v="5"/>
    <n v="1738.8000000000002"/>
    <n v="134.80000000000001"/>
    <n v="119.4"/>
    <n v="136.9"/>
    <n v="131.30000000000001"/>
  </r>
  <r>
    <x v="1"/>
    <x v="4"/>
    <x v="5"/>
    <n v="1731.0000000000002"/>
    <n v="119"/>
    <n v="113.9"/>
    <n v="134.30000000000001"/>
    <n v="123.8"/>
  </r>
  <r>
    <x v="2"/>
    <x v="4"/>
    <x v="5"/>
    <n v="1734.7"/>
    <n v="128.80000000000001"/>
    <n v="116.5"/>
    <n v="135.4"/>
    <n v="128.5"/>
  </r>
  <r>
    <x v="0"/>
    <x v="4"/>
    <x v="6"/>
    <n v="1772.9"/>
    <n v="135.30000000000001"/>
    <n v="119.1"/>
    <n v="138.6"/>
    <n v="132.1"/>
  </r>
  <r>
    <x v="1"/>
    <x v="4"/>
    <x v="6"/>
    <n v="1768.1"/>
    <n v="119.7"/>
    <n v="113.2"/>
    <n v="135.5"/>
    <n v="125"/>
  </r>
  <r>
    <x v="2"/>
    <x v="4"/>
    <x v="6"/>
    <n v="1769.3999999999999"/>
    <n v="129.4"/>
    <n v="116"/>
    <n v="136.80000000000001"/>
    <n v="129.4"/>
  </r>
  <r>
    <x v="0"/>
    <x v="4"/>
    <x v="7"/>
    <n v="1792.4999999999998"/>
    <n v="136.4"/>
    <n v="120.3"/>
    <n v="140.19999999999999"/>
    <n v="133"/>
  </r>
  <r>
    <x v="1"/>
    <x v="4"/>
    <x v="7"/>
    <n v="1772.9999999999998"/>
    <n v="118.9"/>
    <n v="114.6"/>
    <n v="135.69999999999999"/>
    <n v="125.7"/>
  </r>
  <r>
    <x v="2"/>
    <x v="4"/>
    <x v="7"/>
    <n v="1783.8"/>
    <n v="129.80000000000001"/>
    <n v="117.3"/>
    <n v="137.6"/>
    <n v="130.19999999999999"/>
  </r>
  <r>
    <x v="0"/>
    <x v="4"/>
    <x v="8"/>
    <n v="1784.3"/>
    <n v="137.4"/>
    <n v="121.2"/>
    <n v="139.6"/>
    <n v="133.4"/>
  </r>
  <r>
    <x v="1"/>
    <x v="4"/>
    <x v="8"/>
    <n v="1749.7"/>
    <n v="120.6"/>
    <n v="115.7"/>
    <n v="135.9"/>
    <n v="126.1"/>
  </r>
  <r>
    <x v="2"/>
    <x v="4"/>
    <x v="8"/>
    <n v="1769.9999999999998"/>
    <n v="131"/>
    <n v="118.3"/>
    <n v="137.4"/>
    <n v="130.6"/>
  </r>
  <r>
    <x v="0"/>
    <x v="4"/>
    <x v="9"/>
    <n v="1790.8999999999999"/>
    <n v="138.1"/>
    <n v="121"/>
    <n v="140.1"/>
    <n v="134.19999999999999"/>
  </r>
  <r>
    <x v="1"/>
    <x v="4"/>
    <x v="9"/>
    <n v="1765.6999999999998"/>
    <n v="122.6"/>
    <n v="115"/>
    <n v="136.30000000000001"/>
    <n v="126.6"/>
  </r>
  <r>
    <x v="2"/>
    <x v="4"/>
    <x v="9"/>
    <n v="1779.6999999999998"/>
    <n v="132.19999999999999"/>
    <n v="117.8"/>
    <n v="137.9"/>
    <n v="131.30000000000001"/>
  </r>
  <r>
    <x v="0"/>
    <x v="4"/>
    <x v="11"/>
    <n v="1817.7000000000003"/>
    <n v="141.1"/>
    <n v="121.6"/>
    <n v="141.5"/>
    <n v="135.80000000000001"/>
  </r>
  <r>
    <x v="1"/>
    <x v="4"/>
    <x v="11"/>
    <n v="1796.7"/>
    <n v="125.7"/>
    <n v="115.3"/>
    <n v="136.6"/>
    <n v="127.4"/>
  </r>
  <r>
    <x v="2"/>
    <x v="4"/>
    <x v="11"/>
    <n v="1808.2"/>
    <n v="135.30000000000001"/>
    <n v="118.3"/>
    <n v="138.6"/>
    <n v="132.6"/>
  </r>
  <r>
    <x v="0"/>
    <x v="4"/>
    <x v="12"/>
    <n v="1813.6000000000001"/>
    <n v="142.6"/>
    <n v="122"/>
    <n v="141.1"/>
    <n v="136.1"/>
  </r>
  <r>
    <x v="1"/>
    <x v="4"/>
    <x v="12"/>
    <n v="1767.5"/>
    <n v="126.8"/>
    <n v="115.3"/>
    <n v="136.69999999999999"/>
    <n v="128.19999999999999"/>
  </r>
  <r>
    <x v="2"/>
    <x v="4"/>
    <x v="12"/>
    <n v="1794.9999999999998"/>
    <n v="136.6"/>
    <n v="118.5"/>
    <n v="138.5"/>
    <n v="133.1"/>
  </r>
  <r>
    <x v="0"/>
    <x v="5"/>
    <x v="0"/>
    <n v="1800.7"/>
    <n v="142.30000000000001"/>
    <n v="122.7"/>
    <n v="141.6"/>
    <n v="136"/>
  </r>
  <r>
    <x v="1"/>
    <x v="5"/>
    <x v="0"/>
    <n v="1748.3000000000002"/>
    <n v="127.3"/>
    <n v="116.3"/>
    <n v="137.1"/>
    <n v="129"/>
  </r>
  <r>
    <x v="2"/>
    <x v="5"/>
    <x v="0"/>
    <n v="1779.9"/>
    <n v="136.6"/>
    <n v="119.3"/>
    <n v="139"/>
    <n v="133.30000000000001"/>
  </r>
  <r>
    <x v="0"/>
    <x v="5"/>
    <x v="1"/>
    <n v="1781.5"/>
    <n v="142.4"/>
    <n v="123.3"/>
    <n v="141.5"/>
    <n v="136.19999999999999"/>
  </r>
  <r>
    <x v="1"/>
    <x v="5"/>
    <x v="1"/>
    <n v="1727.9"/>
    <n v="127.3"/>
    <n v="117.4"/>
    <n v="137.19999999999999"/>
    <n v="129.80000000000001"/>
  </r>
  <r>
    <x v="2"/>
    <x v="5"/>
    <x v="1"/>
    <n v="1760.3999999999996"/>
    <n v="136.69999999999999"/>
    <n v="120.2"/>
    <n v="139"/>
    <n v="133.80000000000001"/>
  </r>
  <r>
    <x v="0"/>
    <x v="5"/>
    <x v="2"/>
    <n v="1781.9999999999998"/>
    <n v="142.6"/>
    <n v="124.6"/>
    <n v="142.69999999999999"/>
    <n v="136.69999999999999"/>
  </r>
  <r>
    <x v="1"/>
    <x v="5"/>
    <x v="2"/>
    <n v="1715.5"/>
    <n v="126.4"/>
    <n v="117.8"/>
    <n v="137.80000000000001"/>
    <n v="130.5"/>
  </r>
  <r>
    <x v="2"/>
    <x v="5"/>
    <x v="2"/>
    <n v="1756"/>
    <n v="136.5"/>
    <n v="121"/>
    <n v="139.80000000000001"/>
    <n v="134.30000000000001"/>
  </r>
  <r>
    <x v="0"/>
    <x v="5"/>
    <x v="3"/>
    <n v="1780"/>
    <n v="143.80000000000001"/>
    <n v="125.3"/>
    <n v="143.69999999999999"/>
    <n v="137.6"/>
  </r>
  <r>
    <x v="1"/>
    <x v="5"/>
    <x v="3"/>
    <n v="1720.0000000000002"/>
    <n v="124.6"/>
    <n v="118.9"/>
    <n v="139.69999999999999"/>
    <n v="131.30000000000001"/>
  </r>
  <r>
    <x v="2"/>
    <x v="5"/>
    <x v="3"/>
    <n v="1757.1000000000001"/>
    <n v="136.5"/>
    <n v="121.9"/>
    <n v="141.4"/>
    <n v="135.19999999999999"/>
  </r>
  <r>
    <x v="0"/>
    <x v="5"/>
    <x v="4"/>
    <n v="1782.4"/>
    <n v="144.30000000000001"/>
    <n v="126.4"/>
    <n v="144.4"/>
    <n v="138.4"/>
  </r>
  <r>
    <x v="1"/>
    <x v="5"/>
    <x v="4"/>
    <n v="1722.8999999999999"/>
    <n v="124.7"/>
    <n v="119.8"/>
    <n v="140.4"/>
    <n v="132"/>
  </r>
  <r>
    <x v="2"/>
    <x v="5"/>
    <x v="4"/>
    <n v="1759.8"/>
    <n v="136.9"/>
    <n v="122.9"/>
    <n v="142.1"/>
    <n v="136"/>
  </r>
  <r>
    <x v="0"/>
    <x v="5"/>
    <x v="5"/>
    <n v="1790.2999999999997"/>
    <n v="145.1"/>
    <n v="127.4"/>
    <n v="145.1"/>
    <n v="138.4"/>
  </r>
  <r>
    <x v="1"/>
    <x v="5"/>
    <x v="5"/>
    <n v="1747.3000000000002"/>
    <n v="126.5"/>
    <n v="120.4"/>
    <n v="141.19999999999999"/>
    <n v="132.6"/>
  </r>
  <r>
    <x v="2"/>
    <x v="5"/>
    <x v="5"/>
    <n v="1774.1000000000001"/>
    <n v="138.1"/>
    <n v="123.7"/>
    <n v="142.80000000000001"/>
    <n v="136.19999999999999"/>
  </r>
  <r>
    <x v="0"/>
    <x v="5"/>
    <x v="6"/>
    <n v="1810.5000000000002"/>
    <n v="146.80000000000001"/>
    <n v="127.5"/>
    <n v="145.80000000000001"/>
    <n v="139"/>
  </r>
  <r>
    <x v="1"/>
    <x v="5"/>
    <x v="6"/>
    <n v="1771.1"/>
    <n v="128.1"/>
    <n v="120.1"/>
    <n v="144"/>
    <n v="133.6"/>
  </r>
  <r>
    <x v="2"/>
    <x v="5"/>
    <x v="6"/>
    <n v="1795.3"/>
    <n v="139.69999999999999"/>
    <n v="123.6"/>
    <n v="144.69999999999999"/>
    <n v="137"/>
  </r>
  <r>
    <x v="0"/>
    <x v="5"/>
    <x v="7"/>
    <n v="1818.8"/>
    <n v="147.69999999999999"/>
    <n v="128.30000000000001"/>
    <n v="146.9"/>
    <n v="139.4"/>
  </r>
  <r>
    <x v="1"/>
    <x v="5"/>
    <x v="7"/>
    <n v="1767.6"/>
    <n v="129.80000000000001"/>
    <n v="120.7"/>
    <n v="145.30000000000001"/>
    <n v="134.9"/>
  </r>
  <r>
    <x v="2"/>
    <x v="5"/>
    <x v="7"/>
    <n v="1798.7000000000003"/>
    <n v="140.9"/>
    <n v="124.3"/>
    <n v="146"/>
    <n v="137.69999999999999"/>
  </r>
  <r>
    <x v="0"/>
    <x v="5"/>
    <x v="8"/>
    <n v="1799.8000000000002"/>
    <n v="149"/>
    <n v="129.9"/>
    <n v="147.6"/>
    <n v="140"/>
  </r>
  <r>
    <x v="1"/>
    <x v="5"/>
    <x v="8"/>
    <n v="1748.4"/>
    <n v="131.19999999999999"/>
    <n v="122.5"/>
    <n v="145.19999999999999"/>
    <n v="135.69999999999999"/>
  </r>
  <r>
    <x v="2"/>
    <x v="5"/>
    <x v="8"/>
    <n v="1779.5"/>
    <n v="142.30000000000001"/>
    <n v="126"/>
    <n v="146.19999999999999"/>
    <n v="138.4"/>
  </r>
  <r>
    <x v="0"/>
    <x v="5"/>
    <x v="9"/>
    <n v="1782.2"/>
    <n v="149.69999999999999"/>
    <n v="130.80000000000001"/>
    <n v="148"/>
    <n v="144.80000000000001"/>
  </r>
  <r>
    <x v="1"/>
    <x v="5"/>
    <x v="9"/>
    <n v="1754.1"/>
    <n v="133.4"/>
    <n v="123.3"/>
    <n v="145.5"/>
    <n v="136.19999999999999"/>
  </r>
  <r>
    <x v="2"/>
    <x v="5"/>
    <x v="9"/>
    <n v="1776.2"/>
    <n v="145.30000000000001"/>
    <n v="125.5"/>
    <n v="147.80000000000001"/>
    <n v="142.1"/>
  </r>
  <r>
    <x v="0"/>
    <x v="5"/>
    <x v="11"/>
    <n v="1787.4999999999995"/>
    <n v="150.30000000000001"/>
    <n v="130.30000000000001"/>
    <n v="150.19999999999999"/>
    <n v="145.4"/>
  </r>
  <r>
    <x v="1"/>
    <x v="5"/>
    <x v="11"/>
    <n v="1757.4999999999998"/>
    <n v="136.69999999999999"/>
    <n v="121.2"/>
    <n v="146.1"/>
    <n v="136.80000000000001"/>
  </r>
  <r>
    <x v="2"/>
    <x v="5"/>
    <x v="11"/>
    <n v="1775.7000000000003"/>
    <n v="145.1"/>
    <n v="125.5"/>
    <n v="147.80000000000001"/>
    <n v="142.1"/>
  </r>
  <r>
    <x v="0"/>
    <x v="5"/>
    <x v="12"/>
    <n v="1773.1000000000001"/>
    <n v="149"/>
    <n v="128.9"/>
    <n v="155.1"/>
    <n v="149.6"/>
  </r>
  <r>
    <x v="1"/>
    <x v="5"/>
    <x v="12"/>
    <n v="1746.6"/>
    <n v="132.4"/>
    <n v="118.8"/>
    <n v="146.5"/>
    <n v="137.30000000000001"/>
  </r>
  <r>
    <x v="2"/>
    <x v="5"/>
    <x v="12"/>
    <n v="1762.7999999999997"/>
    <n v="142.69999999999999"/>
    <n v="123.6"/>
    <n v="150.1"/>
    <n v="144.9"/>
  </r>
  <r>
    <x v="0"/>
    <x v="6"/>
    <x v="0"/>
    <n v="1759.6000000000001"/>
    <n v="146.19999999999999"/>
    <n v="128.6"/>
    <n v="155.19999999999999"/>
    <n v="149.6"/>
  </r>
  <r>
    <x v="1"/>
    <x v="6"/>
    <x v="0"/>
    <n v="1744.3000000000002"/>
    <n v="128.6"/>
    <n v="118.6"/>
    <n v="146.6"/>
    <n v="137.80000000000001"/>
  </r>
  <r>
    <x v="2"/>
    <x v="6"/>
    <x v="0"/>
    <n v="1753.3999999999999"/>
    <n v="139.5"/>
    <n v="123.3"/>
    <n v="150.19999999999999"/>
    <n v="145.1"/>
  </r>
  <r>
    <x v="0"/>
    <x v="6"/>
    <x v="1"/>
    <n v="1759.8000000000002"/>
    <n v="145.30000000000001"/>
    <n v="129.19999999999999"/>
    <n v="155.5"/>
    <n v="149.9"/>
  </r>
  <r>
    <x v="1"/>
    <x v="6"/>
    <x v="1"/>
    <n v="1754.4"/>
    <n v="127.1"/>
    <n v="119.2"/>
    <n v="146.6"/>
    <n v="138.5"/>
  </r>
  <r>
    <x v="2"/>
    <x v="6"/>
    <x v="1"/>
    <n v="1757.1"/>
    <n v="138.4"/>
    <n v="123.9"/>
    <n v="150.30000000000001"/>
    <n v="145.6"/>
  </r>
  <r>
    <x v="0"/>
    <x v="6"/>
    <x v="2"/>
    <n v="1761.2000000000003"/>
    <n v="146.4"/>
    <n v="129.9"/>
    <n v="155.5"/>
    <n v="150.4"/>
  </r>
  <r>
    <x v="1"/>
    <x v="6"/>
    <x v="2"/>
    <n v="1768.4"/>
    <n v="128.80000000000001"/>
    <n v="119.9"/>
    <n v="146.69999999999999"/>
    <n v="139.19999999999999"/>
  </r>
  <r>
    <x v="2"/>
    <x v="6"/>
    <x v="2"/>
    <n v="1762.9"/>
    <n v="139.69999999999999"/>
    <n v="124.6"/>
    <n v="150.30000000000001"/>
    <n v="146.19999999999999"/>
  </r>
  <r>
    <x v="0"/>
    <x v="6"/>
    <x v="4"/>
    <n v="1782.1000000000001"/>
    <n v="146.9"/>
    <n v="130.19999999999999"/>
    <n v="156.69999999999999"/>
    <n v="151.30000000000001"/>
  </r>
  <r>
    <x v="1"/>
    <x v="6"/>
    <x v="4"/>
    <n v="1811.5000000000002"/>
    <n v="129.4"/>
    <n v="120.1"/>
    <n v="148"/>
    <n v="139.80000000000001"/>
  </r>
  <r>
    <x v="2"/>
    <x v="6"/>
    <x v="4"/>
    <n v="1791.9000000000003"/>
    <n v="140.30000000000001"/>
    <n v="124.9"/>
    <n v="151.6"/>
    <n v="146.9"/>
  </r>
  <r>
    <x v="0"/>
    <x v="6"/>
    <x v="5"/>
    <n v="1804.1999999999998"/>
    <n v="147.80000000000001"/>
    <n v="130.19999999999999"/>
    <n v="157.69999999999999"/>
    <n v="151.69999999999999"/>
  </r>
  <r>
    <x v="1"/>
    <x v="6"/>
    <x v="5"/>
    <n v="1833.2999999999997"/>
    <n v="130.5"/>
    <n v="119.6"/>
    <n v="148.9"/>
    <n v="140.30000000000001"/>
  </r>
  <r>
    <x v="2"/>
    <x v="6"/>
    <x v="5"/>
    <n v="1814.1000000000001"/>
    <n v="141.19999999999999"/>
    <n v="124.6"/>
    <n v="152.5"/>
    <n v="147.4"/>
  </r>
  <r>
    <x v="0"/>
    <x v="6"/>
    <x v="6"/>
    <n v="1826.8999999999999"/>
    <n v="146.80000000000001"/>
    <n v="131.19999999999999"/>
    <n v="159.1"/>
    <n v="152.19999999999999"/>
  </r>
  <r>
    <x v="1"/>
    <x v="6"/>
    <x v="6"/>
    <n v="1857.3999999999999"/>
    <n v="127"/>
    <n v="120.6"/>
    <n v="150.4"/>
    <n v="140.80000000000001"/>
  </r>
  <r>
    <x v="2"/>
    <x v="6"/>
    <x v="6"/>
    <n v="1837.5"/>
    <n v="139.30000000000001"/>
    <n v="125.6"/>
    <n v="154"/>
    <n v="147.9"/>
  </r>
  <r>
    <x v="0"/>
    <x v="6"/>
    <x v="7"/>
    <n v="1834.5000000000002"/>
    <n v="146.4"/>
    <n v="131.4"/>
    <n v="159.69999999999999"/>
    <n v="152.69999999999999"/>
  </r>
  <r>
    <x v="1"/>
    <x v="6"/>
    <x v="7"/>
    <n v="1869.1"/>
    <n v="125.5"/>
    <n v="120.8"/>
    <n v="151.5"/>
    <n v="141.5"/>
  </r>
  <r>
    <x v="2"/>
    <x v="6"/>
    <x v="7"/>
    <n v="1846.5"/>
    <n v="138.5"/>
    <n v="125.8"/>
    <n v="154.9"/>
    <n v="148.5"/>
  </r>
  <r>
    <x v="0"/>
    <x v="6"/>
    <x v="8"/>
    <n v="1848.7"/>
    <n v="146.9"/>
    <n v="131.6"/>
    <n v="160.19999999999999"/>
    <n v="153.4"/>
  </r>
  <r>
    <x v="1"/>
    <x v="6"/>
    <x v="8"/>
    <n v="1874.9"/>
    <n v="126.6"/>
    <n v="121.2"/>
    <n v="151.6"/>
    <n v="141.9"/>
  </r>
  <r>
    <x v="2"/>
    <x v="6"/>
    <x v="8"/>
    <n v="1857.6999999999998"/>
    <n v="139.19999999999999"/>
    <n v="126.1"/>
    <n v="155.19999999999999"/>
    <n v="149"/>
  </r>
  <r>
    <x v="0"/>
    <x v="6"/>
    <x v="9"/>
    <n v="1876.8999999999996"/>
    <n v="147.69999999999999"/>
    <n v="131.69999999999999"/>
    <n v="160.69999999999999"/>
    <n v="153.69999999999999"/>
  </r>
  <r>
    <x v="1"/>
    <x v="6"/>
    <x v="9"/>
    <n v="1902.6000000000001"/>
    <n v="128.9"/>
    <n v="121.5"/>
    <n v="151.69999999999999"/>
    <n v="142.4"/>
  </r>
  <r>
    <x v="2"/>
    <x v="6"/>
    <x v="9"/>
    <n v="1885.5999999999997"/>
    <n v="140.6"/>
    <n v="126.3"/>
    <n v="155.4"/>
    <n v="149.4"/>
  </r>
  <r>
    <x v="0"/>
    <x v="6"/>
    <x v="11"/>
    <n v="1904.6000000000001"/>
    <n v="148.4"/>
    <n v="132.1"/>
    <n v="160.80000000000001"/>
    <n v="154.30000000000001"/>
  </r>
  <r>
    <x v="1"/>
    <x v="6"/>
    <x v="11"/>
    <n v="1923.9999999999998"/>
    <n v="132.19999999999999"/>
    <n v="121.7"/>
    <n v="151.80000000000001"/>
    <n v="142.80000000000001"/>
  </r>
  <r>
    <x v="2"/>
    <x v="6"/>
    <x v="11"/>
    <n v="1910.9"/>
    <n v="142.30000000000001"/>
    <n v="126.6"/>
    <n v="155.5"/>
    <n v="149.9"/>
  </r>
  <r>
    <x v="0"/>
    <x v="6"/>
    <x v="12"/>
    <n v="1940.9999999999995"/>
    <n v="149.9"/>
    <n v="135"/>
    <n v="161.1"/>
    <n v="154.80000000000001"/>
  </r>
  <r>
    <x v="1"/>
    <x v="6"/>
    <x v="12"/>
    <n v="1956.7"/>
    <n v="133.6"/>
    <n v="125.2"/>
    <n v="151.9"/>
    <n v="143.19999999999999"/>
  </r>
  <r>
    <x v="2"/>
    <x v="6"/>
    <x v="12"/>
    <n v="1946.1000000000001"/>
    <n v="143.69999999999999"/>
    <n v="129.80000000000001"/>
    <n v="155.69999999999999"/>
    <n v="150.4"/>
  </r>
  <r>
    <x v="0"/>
    <x v="7"/>
    <x v="0"/>
    <n v="1938.6"/>
    <n v="150.4"/>
    <n v="136.30000000000001"/>
    <n v="161.69999999999999"/>
    <n v="155.69999999999999"/>
  </r>
  <r>
    <x v="1"/>
    <x v="7"/>
    <x v="0"/>
    <n v="1945.3999999999999"/>
    <n v="135.1"/>
    <n v="126.1"/>
    <n v="152.1"/>
    <n v="143.80000000000001"/>
  </r>
  <r>
    <x v="2"/>
    <x v="7"/>
    <x v="0"/>
    <n v="1940.3999999999999"/>
    <n v="144.6"/>
    <n v="130.9"/>
    <n v="156.1"/>
    <n v="151.19999999999999"/>
  </r>
  <r>
    <x v="0"/>
    <x v="7"/>
    <x v="1"/>
    <n v="1909.7999999999997"/>
    <n v="152.30000000000001"/>
    <n v="136"/>
    <n v="161.9"/>
    <n v="156.19999999999999"/>
  </r>
  <r>
    <x v="1"/>
    <x v="7"/>
    <x v="1"/>
    <n v="1916.6"/>
    <n v="138.9"/>
    <n v="125.2"/>
    <n v="152.19999999999999"/>
    <n v="144.4"/>
  </r>
  <r>
    <x v="2"/>
    <x v="7"/>
    <x v="1"/>
    <n v="1911.6"/>
    <n v="147.19999999999999"/>
    <n v="130.30000000000001"/>
    <n v="156.19999999999999"/>
    <n v="151.69999999999999"/>
  </r>
  <r>
    <x v="0"/>
    <x v="7"/>
    <x v="2"/>
    <n v="1894.5999999999997"/>
    <n v="153.4"/>
    <n v="135.80000000000001"/>
    <n v="161.19999999999999"/>
    <n v="156.69999999999999"/>
  </r>
  <r>
    <x v="1"/>
    <x v="7"/>
    <x v="2"/>
    <n v="1898.5"/>
    <n v="141.4"/>
    <n v="124.6"/>
    <n v="152.5"/>
    <n v="145"/>
  </r>
  <r>
    <x v="2"/>
    <x v="7"/>
    <x v="2"/>
    <n v="1895.4"/>
    <n v="148.9"/>
    <n v="129.9"/>
    <n v="156.1"/>
    <n v="152.30000000000001"/>
  </r>
  <r>
    <x v="0"/>
    <x v="7"/>
    <x v="3"/>
    <n v="1941.55"/>
    <n v="148.4"/>
    <n v="135.9"/>
    <n v="161.55000000000001"/>
    <n v="154.30000000000001"/>
  </r>
  <r>
    <x v="1"/>
    <x v="7"/>
    <x v="3"/>
    <n v="1963.3"/>
    <n v="137.1"/>
    <n v="124.9"/>
    <n v="152.35"/>
    <n v="144.80000000000001"/>
  </r>
  <r>
    <x v="2"/>
    <x v="7"/>
    <x v="3"/>
    <n v="1949.3"/>
    <n v="144.1"/>
    <n v="130.10000000000002"/>
    <n v="156.14999999999998"/>
    <n v="150.69999999999999"/>
  </r>
  <r>
    <x v="0"/>
    <x v="7"/>
    <x v="4"/>
    <n v="1918.0749999999998"/>
    <n v="150.9"/>
    <n v="135.85000000000002"/>
    <n v="161.375"/>
    <n v="155.5"/>
  </r>
  <r>
    <x v="1"/>
    <x v="7"/>
    <x v="4"/>
    <n v="1930.9"/>
    <n v="139.25"/>
    <n v="124.75"/>
    <n v="152.42500000000001"/>
    <n v="144.9"/>
  </r>
  <r>
    <x v="2"/>
    <x v="7"/>
    <x v="4"/>
    <n v="1922.35"/>
    <n v="146.5"/>
    <n v="130"/>
    <n v="156.125"/>
    <n v="151.5"/>
  </r>
  <r>
    <x v="0"/>
    <x v="7"/>
    <x v="5"/>
    <n v="1951"/>
    <n v="144.9"/>
    <n v="141.4"/>
    <n v="161.80000000000001"/>
    <n v="158.19999999999999"/>
  </r>
  <r>
    <x v="1"/>
    <x v="7"/>
    <x v="5"/>
    <n v="1994.9999999999998"/>
    <n v="137.1"/>
    <n v="129.30000000000001"/>
    <n v="152.5"/>
    <n v="148.1"/>
  </r>
  <r>
    <x v="2"/>
    <x v="7"/>
    <x v="5"/>
    <n v="1966.8000000000002"/>
    <n v="141.9"/>
    <n v="135"/>
    <n v="156.4"/>
    <n v="154.4"/>
  </r>
  <r>
    <x v="0"/>
    <x v="7"/>
    <x v="6"/>
    <n v="1951"/>
    <n v="144.9"/>
    <n v="141.4"/>
    <n v="161.80000000000001"/>
    <n v="158.19999999999999"/>
  </r>
  <r>
    <x v="1"/>
    <x v="7"/>
    <x v="6"/>
    <n v="1994.9999999999998"/>
    <n v="137.1"/>
    <n v="129.30000000000001"/>
    <n v="152.5"/>
    <n v="148.1"/>
  </r>
  <r>
    <x v="2"/>
    <x v="7"/>
    <x v="6"/>
    <n v="1966.8000000000002"/>
    <n v="141.9"/>
    <n v="135"/>
    <n v="156.4"/>
    <n v="154.4"/>
  </r>
  <r>
    <x v="0"/>
    <x v="7"/>
    <x v="7"/>
    <n v="1978.6"/>
    <n v="145.80000000000001"/>
    <n v="143.6"/>
    <n v="162.69999999999999"/>
    <n v="158.80000000000001"/>
  </r>
  <r>
    <x v="1"/>
    <x v="7"/>
    <x v="7"/>
    <n v="2024.8999999999999"/>
    <n v="138.30000000000001"/>
    <n v="133.9"/>
    <n v="155.5"/>
    <n v="148.69999999999999"/>
  </r>
  <r>
    <x v="2"/>
    <x v="7"/>
    <x v="7"/>
    <n v="1995.1999999999998"/>
    <n v="143"/>
    <n v="138.5"/>
    <n v="158.5"/>
    <n v="155"/>
  </r>
  <r>
    <x v="0"/>
    <x v="7"/>
    <x v="8"/>
    <n v="1987.3999999999999"/>
    <n v="146.4"/>
    <n v="144.6"/>
    <n v="161.1"/>
    <n v="159.1"/>
  </r>
  <r>
    <x v="1"/>
    <x v="7"/>
    <x v="8"/>
    <n v="2041.6000000000001"/>
    <n v="137.19999999999999"/>
    <n v="135.1"/>
    <n v="154.9"/>
    <n v="150"/>
  </r>
  <r>
    <x v="2"/>
    <x v="7"/>
    <x v="8"/>
    <n v="2007"/>
    <n v="142.9"/>
    <n v="139.6"/>
    <n v="157.5"/>
    <n v="155.6"/>
  </r>
  <r>
    <x v="0"/>
    <x v="7"/>
    <x v="9"/>
    <n v="2030.9"/>
    <n v="146.80000000000001"/>
    <n v="146.4"/>
    <n v="162.5"/>
    <n v="159.5"/>
  </r>
  <r>
    <x v="1"/>
    <x v="7"/>
    <x v="9"/>
    <n v="2080.1999999999998"/>
    <n v="137.1"/>
    <n v="135.4"/>
    <n v="155.69999999999999"/>
    <n v="151"/>
  </r>
  <r>
    <x v="2"/>
    <x v="7"/>
    <x v="9"/>
    <n v="2048.6000000000004"/>
    <n v="143.1"/>
    <n v="140.6"/>
    <n v="158.5"/>
    <n v="156.30000000000001"/>
  </r>
  <r>
    <x v="0"/>
    <x v="7"/>
    <x v="11"/>
    <n v="2082.4"/>
    <n v="147.5"/>
    <n v="146.1"/>
    <n v="161.6"/>
    <n v="160.4"/>
  </r>
  <r>
    <x v="1"/>
    <x v="7"/>
    <x v="11"/>
    <n v="2120.6999999999998"/>
    <n v="137.30000000000001"/>
    <n v="135.19999999999999"/>
    <n v="156.4"/>
    <n v="152"/>
  </r>
  <r>
    <x v="2"/>
    <x v="7"/>
    <x v="11"/>
    <n v="2095.6"/>
    <n v="143.6"/>
    <n v="140.4"/>
    <n v="158.6"/>
    <n v="157.19999999999999"/>
  </r>
  <r>
    <x v="0"/>
    <x v="7"/>
    <x v="12"/>
    <n v="2100.5"/>
    <n v="148.69999999999999"/>
    <n v="146.4"/>
    <n v="162.9"/>
    <n v="161.6"/>
  </r>
  <r>
    <x v="1"/>
    <x v="7"/>
    <x v="12"/>
    <n v="2125.4"/>
    <n v="137.9"/>
    <n v="135.5"/>
    <n v="156.9"/>
    <n v="152.9"/>
  </r>
  <r>
    <x v="2"/>
    <x v="7"/>
    <x v="12"/>
    <n v="2109.1"/>
    <n v="144.6"/>
    <n v="140.69999999999999"/>
    <n v="159.4"/>
    <n v="158.30000000000001"/>
  </r>
  <r>
    <x v="0"/>
    <x v="8"/>
    <x v="0"/>
    <n v="2065.6999999999998"/>
    <n v="150.9"/>
    <n v="147.5"/>
    <n v="163.5"/>
    <n v="162.5"/>
  </r>
  <r>
    <x v="1"/>
    <x v="8"/>
    <x v="0"/>
    <n v="2097"/>
    <n v="142.9"/>
    <n v="136.9"/>
    <n v="156.1"/>
    <n v="154.1"/>
  </r>
  <r>
    <x v="2"/>
    <x v="8"/>
    <x v="0"/>
    <n v="2076.5"/>
    <n v="147.9"/>
    <n v="141.9"/>
    <n v="159.19999999999999"/>
    <n v="159.30000000000001"/>
  </r>
  <r>
    <x v="0"/>
    <x v="8"/>
    <x v="1"/>
    <n v="2025.3"/>
    <n v="154.4"/>
    <n v="150.19999999999999"/>
    <n v="163.6"/>
    <n v="164.3"/>
  </r>
  <r>
    <x v="1"/>
    <x v="8"/>
    <x v="1"/>
    <n v="2066"/>
    <n v="149.1"/>
    <n v="140.5"/>
    <n v="156.6"/>
    <n v="156.30000000000001"/>
  </r>
  <r>
    <x v="2"/>
    <x v="8"/>
    <x v="1"/>
    <n v="2039.3000000000002"/>
    <n v="152.4"/>
    <n v="145.1"/>
    <n v="159.5"/>
    <n v="161.30000000000001"/>
  </r>
  <r>
    <x v="0"/>
    <x v="8"/>
    <x v="2"/>
    <n v="2025.7"/>
    <n v="156"/>
    <n v="151.30000000000001"/>
    <n v="163.80000000000001"/>
    <n v="164.6"/>
  </r>
  <r>
    <x v="1"/>
    <x v="8"/>
    <x v="2"/>
    <n v="2064.4999999999995"/>
    <n v="154.80000000000001"/>
    <n v="141.69999999999999"/>
    <n v="157.6"/>
    <n v="156.9"/>
  </r>
  <r>
    <x v="2"/>
    <x v="8"/>
    <x v="2"/>
    <n v="2039.3999999999999"/>
    <n v="155.5"/>
    <n v="146.19999999999999"/>
    <n v="160.19999999999999"/>
    <n v="161.69999999999999"/>
  </r>
  <r>
    <x v="0"/>
    <x v="8"/>
    <x v="3"/>
    <n v="2049.5"/>
    <n v="156"/>
    <n v="151.69999999999999"/>
    <n v="164.1"/>
    <n v="165.3"/>
  </r>
  <r>
    <x v="1"/>
    <x v="8"/>
    <x v="3"/>
    <n v="2089.6"/>
    <n v="154.9"/>
    <n v="142.1"/>
    <n v="157.6"/>
    <n v="157.5"/>
  </r>
  <r>
    <x v="2"/>
    <x v="8"/>
    <x v="3"/>
    <n v="2064.1"/>
    <n v="155.6"/>
    <n v="146.6"/>
    <n v="160.30000000000001"/>
    <n v="162.30000000000001"/>
  </r>
  <r>
    <x v="0"/>
    <x v="8"/>
    <x v="4"/>
    <n v="2095.2999999999997"/>
    <n v="161.69999999999999"/>
    <n v="153.19999999999999"/>
    <n v="167.6"/>
    <n v="169.1"/>
  </r>
  <r>
    <x v="1"/>
    <x v="8"/>
    <x v="4"/>
    <n v="2124.7000000000003"/>
    <n v="155.5"/>
    <n v="145"/>
    <n v="156.6"/>
    <n v="160.4"/>
  </r>
  <r>
    <x v="2"/>
    <x v="8"/>
    <x v="4"/>
    <n v="2105.7000000000003"/>
    <n v="159.4"/>
    <n v="148.9"/>
    <n v="161.19999999999999"/>
    <n v="165.8"/>
  </r>
  <r>
    <x v="0"/>
    <x v="8"/>
    <x v="5"/>
    <n v="2122.6"/>
    <n v="162.1"/>
    <n v="154.19999999999999"/>
    <n v="166.8"/>
    <n v="169.7"/>
  </r>
  <r>
    <x v="1"/>
    <x v="8"/>
    <x v="5"/>
    <n v="2154.1999999999998"/>
    <n v="156.1"/>
    <n v="147.5"/>
    <n v="158.1"/>
    <n v="160.80000000000001"/>
  </r>
  <r>
    <x v="2"/>
    <x v="8"/>
    <x v="5"/>
    <n v="2133.9"/>
    <n v="159.80000000000001"/>
    <n v="150.69999999999999"/>
    <n v="161.69999999999999"/>
    <n v="166.3"/>
  </r>
  <r>
    <x v="0"/>
    <x v="8"/>
    <x v="6"/>
    <n v="2132.4"/>
    <n v="162.5"/>
    <n v="157.1"/>
    <n v="167.2"/>
    <n v="170.4"/>
  </r>
  <r>
    <x v="1"/>
    <x v="8"/>
    <x v="6"/>
    <n v="2171.8000000000002"/>
    <n v="157.69999999999999"/>
    <n v="149.5"/>
    <n v="160.30000000000001"/>
    <n v="161.5"/>
  </r>
  <r>
    <x v="2"/>
    <x v="8"/>
    <x v="6"/>
    <n v="2147"/>
    <n v="160.69999999999999"/>
    <n v="153.1"/>
    <n v="163.19999999999999"/>
    <n v="167"/>
  </r>
  <r>
    <x v="0"/>
    <x v="8"/>
    <x v="7"/>
    <n v="2130.8000000000002"/>
    <n v="163.1"/>
    <n v="157.69999999999999"/>
    <n v="167.5"/>
    <n v="171.1"/>
  </r>
  <r>
    <x v="1"/>
    <x v="8"/>
    <x v="7"/>
    <n v="2157.9"/>
    <n v="160.69999999999999"/>
    <n v="150.4"/>
    <n v="160.4"/>
    <n v="162.80000000000001"/>
  </r>
  <r>
    <x v="2"/>
    <x v="8"/>
    <x v="7"/>
    <n v="2142"/>
    <n v="162.6"/>
    <n v="154"/>
    <n v="163.80000000000001"/>
    <n v="168.4"/>
  </r>
  <r>
    <x v="0"/>
    <x v="8"/>
    <x v="8"/>
    <n v="2133.6"/>
    <n v="163.69999999999999"/>
    <n v="157.80000000000001"/>
    <n v="168.5"/>
    <n v="171.9"/>
  </r>
  <r>
    <x v="1"/>
    <x v="8"/>
    <x v="8"/>
    <n v="2157.9"/>
    <n v="160.80000000000001"/>
    <n v="150.5"/>
    <n v="160.30000000000001"/>
    <n v="162.80000000000001"/>
  </r>
  <r>
    <x v="2"/>
    <x v="8"/>
    <x v="8"/>
    <n v="2142"/>
    <n v="162.6"/>
    <n v="154"/>
    <n v="163.69999999999999"/>
    <n v="168.4"/>
  </r>
  <r>
    <x v="0"/>
    <x v="8"/>
    <x v="9"/>
    <n v="2164.1999999999998"/>
    <n v="165.5"/>
    <n v="159.5"/>
    <n v="169"/>
    <n v="172.5"/>
  </r>
  <r>
    <x v="1"/>
    <x v="8"/>
    <x v="9"/>
    <n v="2198.4000000000005"/>
    <n v="162.19999999999999"/>
    <n v="152.19999999999999"/>
    <n v="160.30000000000001"/>
    <n v="163.5"/>
  </r>
  <r>
    <x v="2"/>
    <x v="8"/>
    <x v="9"/>
    <n v="2175.5"/>
    <n v="164.2"/>
    <n v="155.69999999999999"/>
    <n v="163.9"/>
    <n v="169.1"/>
  </r>
  <r>
    <x v="0"/>
    <x v="8"/>
    <x v="11"/>
    <n v="2182"/>
    <n v="165.3"/>
    <n v="158.9"/>
    <n v="169.3"/>
    <n v="173.4"/>
  </r>
  <r>
    <x v="1"/>
    <x v="8"/>
    <x v="11"/>
    <n v="2217.8999999999996"/>
    <n v="161.6"/>
    <n v="151.19999999999999"/>
    <n v="160.80000000000001"/>
    <n v="164.2"/>
  </r>
  <r>
    <x v="2"/>
    <x v="8"/>
    <x v="11"/>
    <n v="2194.1"/>
    <n v="163.9"/>
    <n v="154.80000000000001"/>
    <n v="164.3"/>
    <n v="169.9"/>
  </r>
  <r>
    <x v="0"/>
    <x v="8"/>
    <x v="12"/>
    <n v="2168.1999999999998"/>
    <n v="165.6"/>
    <n v="160.1"/>
    <n v="169.7"/>
    <n v="174"/>
  </r>
  <r>
    <x v="1"/>
    <x v="8"/>
    <x v="12"/>
    <n v="2206.3000000000002"/>
    <n v="161.69999999999999"/>
    <n v="151.80000000000001"/>
    <n v="160.6"/>
    <n v="165.1"/>
  </r>
  <r>
    <x v="2"/>
    <x v="8"/>
    <x v="12"/>
    <n v="2180.9"/>
    <n v="164.1"/>
    <n v="155.69999999999999"/>
    <n v="164.4"/>
    <n v="170.6"/>
  </r>
  <r>
    <x v="0"/>
    <x v="9"/>
    <x v="0"/>
    <n v="2153"/>
    <n v="165.8"/>
    <n v="160.80000000000001"/>
    <n v="169.9"/>
    <n v="174.7"/>
  </r>
  <r>
    <x v="1"/>
    <x v="9"/>
    <x v="0"/>
    <n v="2186.6999999999998"/>
    <n v="161.6"/>
    <n v="152.69999999999999"/>
    <n v="161"/>
    <n v="166.1"/>
  </r>
  <r>
    <x v="2"/>
    <x v="9"/>
    <x v="0"/>
    <n v="2164.1999999999998"/>
    <n v="164.2"/>
    <n v="156.5"/>
    <n v="164.7"/>
    <n v="171.4"/>
  </r>
  <r>
    <x v="0"/>
    <x v="9"/>
    <x v="1"/>
    <n v="2150.4"/>
    <n v="167.4"/>
    <n v="161.19999999999999"/>
    <n v="170.3"/>
    <n v="175.3"/>
  </r>
  <r>
    <x v="1"/>
    <x v="9"/>
    <x v="1"/>
    <n v="2183.5"/>
    <n v="163"/>
    <n v="153.1"/>
    <n v="162"/>
    <n v="167.2"/>
  </r>
  <r>
    <x v="2"/>
    <x v="9"/>
    <x v="1"/>
    <n v="2161.2000000000003"/>
    <n v="165.7"/>
    <n v="156.9"/>
    <n v="165.4"/>
    <n v="172.2"/>
  </r>
  <r>
    <x v="0"/>
    <x v="9"/>
    <x v="2"/>
    <n v="2179.1000000000004"/>
    <n v="168.9"/>
    <n v="162"/>
    <n v="170.6"/>
    <n v="176"/>
  </r>
  <r>
    <x v="1"/>
    <x v="9"/>
    <x v="2"/>
    <n v="2196.3000000000002"/>
    <n v="164.5"/>
    <n v="154.19999999999999"/>
    <n v="162.69999999999999"/>
    <n v="168.2"/>
  </r>
  <r>
    <x v="2"/>
    <x v="9"/>
    <x v="2"/>
    <n v="2184.2000000000003"/>
    <n v="167.2"/>
    <n v="157.9"/>
    <n v="166"/>
    <n v="173"/>
  </r>
  <r>
    <x v="0"/>
    <x v="9"/>
    <x v="3"/>
    <n v="2206.6"/>
    <n v="173.3"/>
    <n v="166.2"/>
    <n v="170.9"/>
    <n v="177"/>
  </r>
  <r>
    <x v="1"/>
    <x v="9"/>
    <x v="3"/>
    <n v="2230.4"/>
    <n v="170.5"/>
    <n v="159.30000000000001"/>
    <n v="164"/>
    <n v="169"/>
  </r>
  <r>
    <x v="2"/>
    <x v="9"/>
    <x v="3"/>
    <n v="2214.3000000000002"/>
    <n v="172.2"/>
    <n v="162.6"/>
    <n v="166.9"/>
    <n v="174"/>
  </r>
  <r>
    <x v="0"/>
    <x v="9"/>
    <x v="4"/>
    <n v="2226.8000000000002"/>
    <n v="175.3"/>
    <n v="167.1"/>
    <n v="171.8"/>
    <n v="177.7"/>
  </r>
  <r>
    <x v="1"/>
    <x v="9"/>
    <x v="4"/>
    <n v="2262.2000000000003"/>
    <n v="173.5"/>
    <n v="159.4"/>
    <n v="165.2"/>
    <n v="170.1"/>
  </r>
  <r>
    <x v="2"/>
    <x v="9"/>
    <x v="4"/>
    <n v="2238.9000000000005"/>
    <n v="174.6"/>
    <n v="163"/>
    <n v="167.9"/>
    <n v="174.8"/>
  </r>
  <r>
    <x v="0"/>
    <x v="9"/>
    <x v="5"/>
    <n v="2248.3000000000002"/>
    <n v="176.7"/>
    <n v="165.5"/>
    <n v="172.6"/>
    <n v="178.2"/>
  </r>
  <r>
    <x v="1"/>
    <x v="9"/>
    <x v="5"/>
    <n v="2287.5"/>
    <n v="174.9"/>
    <n v="157.19999999999999"/>
    <n v="166.5"/>
    <n v="170.9"/>
  </r>
  <r>
    <x v="2"/>
    <x v="9"/>
    <x v="5"/>
    <n v="2261.9"/>
    <n v="176"/>
    <n v="161.1"/>
    <n v="169"/>
    <n v="175.4"/>
  </r>
  <r>
    <x v="0"/>
    <x v="9"/>
    <x v="6"/>
    <n v="2252.5"/>
    <n v="179.6"/>
    <n v="166.3"/>
    <n v="174.7"/>
    <n v="178.8"/>
  </r>
  <r>
    <x v="1"/>
    <x v="9"/>
    <x v="6"/>
    <n v="2291.6"/>
    <n v="179.5"/>
    <n v="157.4"/>
    <n v="169.1"/>
    <n v="171.7"/>
  </r>
  <r>
    <x v="2"/>
    <x v="9"/>
    <x v="6"/>
    <n v="2266.3000000000002"/>
    <n v="179.6"/>
    <n v="161.6"/>
    <n v="171.4"/>
    <n v="176.1"/>
  </r>
  <r>
    <x v="0"/>
    <x v="9"/>
    <x v="7"/>
    <n v="2255.7999999999997"/>
    <n v="179.1"/>
    <n v="166.6"/>
    <n v="175.7"/>
    <n v="179.4"/>
  </r>
  <r>
    <x v="1"/>
    <x v="9"/>
    <x v="7"/>
    <n v="2293.6999999999998"/>
    <n v="178.4"/>
    <n v="157.69999999999999"/>
    <n v="169.9"/>
    <n v="172.6"/>
  </r>
  <r>
    <x v="2"/>
    <x v="9"/>
    <x v="7"/>
    <n v="2269.2000000000003"/>
    <n v="178.8"/>
    <n v="161.9"/>
    <n v="172.3"/>
    <n v="176.8"/>
  </r>
  <r>
    <x v="0"/>
    <x v="9"/>
    <x v="8"/>
    <n v="2267.8000000000002"/>
    <n v="179.7"/>
    <n v="166.9"/>
    <n v="176.2"/>
    <n v="180.2"/>
  </r>
  <r>
    <x v="1"/>
    <x v="9"/>
    <x v="8"/>
    <n v="2306.4"/>
    <n v="179.2"/>
    <n v="158.19999999999999"/>
    <n v="170.9"/>
    <n v="173.8"/>
  </r>
  <r>
    <x v="2"/>
    <x v="9"/>
    <x v="8"/>
    <n v="2280.9"/>
    <n v="179.5"/>
    <n v="162.30000000000001"/>
    <n v="173.1"/>
    <n v="177.8"/>
  </r>
  <r>
    <x v="0"/>
    <x v="9"/>
    <x v="9"/>
    <n v="2284.5"/>
    <n v="180.8"/>
    <n v="167.4"/>
    <n v="176.5"/>
    <n v="181.2"/>
  </r>
  <r>
    <x v="1"/>
    <x v="9"/>
    <x v="9"/>
    <n v="2322.3000000000002"/>
    <n v="180"/>
    <n v="158.80000000000001"/>
    <n v="171.2"/>
    <n v="174.7"/>
  </r>
  <r>
    <x v="2"/>
    <x v="9"/>
    <x v="9"/>
    <n v="2297.3000000000002"/>
    <n v="180.5"/>
    <n v="162.9"/>
    <n v="173.4"/>
    <n v="178.7"/>
  </r>
  <r>
    <x v="0"/>
    <x v="9"/>
    <x v="11"/>
    <n v="2287.6999999999998"/>
    <n v="181.9"/>
    <n v="167.5"/>
    <n v="176.9"/>
    <n v="182.3"/>
  </r>
  <r>
    <x v="1"/>
    <x v="9"/>
    <x v="11"/>
    <n v="2314.4"/>
    <n v="180.3"/>
    <n v="158.9"/>
    <n v="171.5"/>
    <n v="175.8"/>
  </r>
  <r>
    <x v="2"/>
    <x v="9"/>
    <x v="11"/>
    <n v="2296.8000000000002"/>
    <n v="181.3"/>
    <n v="163"/>
    <n v="173.7"/>
    <n v="179.8"/>
  </r>
  <r>
    <x v="0"/>
    <x v="9"/>
    <x v="12"/>
    <n v="2277.1"/>
    <n v="182.8"/>
    <n v="167.8"/>
    <n v="177.3"/>
    <n v="183.5"/>
  </r>
  <r>
    <x v="1"/>
    <x v="9"/>
    <x v="12"/>
    <n v="2295.7999999999997"/>
    <n v="180.6"/>
    <n v="159.4"/>
    <n v="171.8"/>
    <n v="177.2"/>
  </r>
  <r>
    <x v="2"/>
    <x v="9"/>
    <x v="12"/>
    <n v="2283.4"/>
    <n v="182"/>
    <n v="163.4"/>
    <n v="174.1"/>
    <n v="181.1"/>
  </r>
  <r>
    <x v="0"/>
    <x v="10"/>
    <x v="0"/>
    <n v="2283.2000000000003"/>
    <n v="183.2"/>
    <n v="168.2"/>
    <n v="177.8"/>
    <n v="184.7"/>
  </r>
  <r>
    <x v="1"/>
    <x v="10"/>
    <x v="0"/>
    <n v="2310.2000000000003"/>
    <n v="180.1"/>
    <n v="159.5"/>
    <n v="171.8"/>
    <n v="178.5"/>
  </r>
  <r>
    <x v="2"/>
    <x v="10"/>
    <x v="0"/>
    <n v="2292.6999999999998"/>
    <n v="182"/>
    <n v="163.6"/>
    <n v="174.3"/>
    <n v="182.3"/>
  </r>
  <r>
    <x v="0"/>
    <x v="10"/>
    <x v="1"/>
    <n v="2265.6999999999998"/>
    <n v="181.6"/>
    <n v="169"/>
    <n v="178.5"/>
    <n v="186.6"/>
  </r>
  <r>
    <x v="1"/>
    <x v="10"/>
    <x v="1"/>
    <n v="2303.1999999999998"/>
    <n v="182.8"/>
    <n v="159.80000000000001"/>
    <n v="172.5"/>
    <n v="180.8"/>
  </r>
  <r>
    <x v="2"/>
    <x v="10"/>
    <x v="1"/>
    <n v="2279.1"/>
    <n v="182.1"/>
    <n v="164.2"/>
    <n v="175"/>
    <n v="184.4"/>
  </r>
  <r>
    <x v="0"/>
    <x v="10"/>
    <x v="2"/>
    <n v="2265.8000000000002"/>
    <n v="181.4"/>
    <n v="169"/>
    <n v="178.5"/>
    <n v="186.6"/>
  </r>
  <r>
    <x v="1"/>
    <x v="10"/>
    <x v="2"/>
    <n v="2303.4"/>
    <n v="182.6"/>
    <n v="159.80000000000001"/>
    <n v="172.5"/>
    <n v="180.8"/>
  </r>
  <r>
    <x v="2"/>
    <x v="10"/>
    <x v="2"/>
    <n v="2279.1999999999998"/>
    <n v="181.9"/>
    <n v="164.2"/>
    <n v="175"/>
    <n v="184.4"/>
  </r>
  <r>
    <x v="0"/>
    <x v="10"/>
    <x v="3"/>
    <n v="2274.1999999999998"/>
    <n v="181.5"/>
    <n v="169.4"/>
    <n v="179.4"/>
    <n v="187.2"/>
  </r>
  <r>
    <x v="1"/>
    <x v="10"/>
    <x v="3"/>
    <n v="2317.7000000000003"/>
    <n v="182.1"/>
    <n v="160.1"/>
    <n v="174.2"/>
    <n v="181.5"/>
  </r>
  <r>
    <x v="2"/>
    <x v="10"/>
    <x v="3"/>
    <n v="2289.6000000000004"/>
    <n v="181.7"/>
    <n v="164.5"/>
    <n v="176.4"/>
    <n v="185"/>
  </r>
  <r>
    <x v="0"/>
    <x v="10"/>
    <x v="4"/>
    <n v="2290.7000000000007"/>
    <n v="182.5"/>
    <n v="169.7"/>
    <n v="180.3"/>
    <n v="187.8"/>
  </r>
  <r>
    <x v="1"/>
    <x v="10"/>
    <x v="4"/>
    <n v="2335.1"/>
    <n v="183.4"/>
    <n v="160.4"/>
    <n v="174.8"/>
    <n v="182.2"/>
  </r>
  <r>
    <x v="2"/>
    <x v="10"/>
    <x v="4"/>
    <n v="2306.9"/>
    <n v="182.8"/>
    <n v="164.8"/>
    <n v="177.1"/>
    <n v="185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m/>
    <n v="100.3"/>
    <n v="105.5"/>
    <n v="104.8"/>
    <n v="104"/>
    <n v="103.3"/>
    <n v="103.4"/>
    <n v="103.8"/>
    <n v="104.7"/>
    <n v="104"/>
    <n v="105.1"/>
    <n v="1371.6999999999998"/>
    <n v="318.70000000000005"/>
    <n v="208.5"/>
  </r>
  <r>
    <x v="1"/>
    <x v="0"/>
    <x v="0"/>
    <x v="1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0.3"/>
    <n v="105.4"/>
    <n v="104.8"/>
    <n v="104.1"/>
    <n v="103.2"/>
    <n v="102.9"/>
    <n v="103.5"/>
    <n v="104.3"/>
    <n v="103.7"/>
    <n v="104"/>
    <n v="1376.4"/>
    <n v="316.7"/>
    <n v="208.10000000000002"/>
  </r>
  <r>
    <x v="2"/>
    <x v="0"/>
    <x v="0"/>
    <x v="2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0.3"/>
    <n v="105.5"/>
    <n v="104.8"/>
    <n v="104"/>
    <n v="103.2"/>
    <n v="103.1"/>
    <n v="103.6"/>
    <n v="104.5"/>
    <n v="103.9"/>
    <n v="104.6"/>
    <n v="1373.3000000000002"/>
    <n v="318"/>
    <n v="208.2"/>
  </r>
  <r>
    <x v="0"/>
    <x v="0"/>
    <x v="1"/>
    <x v="3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m/>
    <n v="100.4"/>
    <n v="106.2"/>
    <n v="105.2"/>
    <n v="104.4"/>
    <n v="103.9"/>
    <n v="104"/>
    <n v="104.1"/>
    <n v="104.6"/>
    <n v="104.4"/>
    <n v="105.8"/>
    <n v="1380.3999999999999"/>
    <n v="320.39999999999998"/>
    <n v="209.6"/>
  </r>
  <r>
    <x v="1"/>
    <x v="0"/>
    <x v="1"/>
    <x v="4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0.4"/>
    <n v="105.7"/>
    <n v="105.2"/>
    <n v="104.7"/>
    <n v="104.4"/>
    <n v="103.3"/>
    <n v="103.7"/>
    <n v="104.3"/>
    <n v="104.3"/>
    <n v="104.7"/>
    <n v="1390.6000000000001"/>
    <n v="318.5"/>
    <n v="209.3"/>
  </r>
  <r>
    <x v="2"/>
    <x v="0"/>
    <x v="1"/>
    <x v="5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0.4"/>
    <n v="106"/>
    <n v="105.2"/>
    <n v="104.5"/>
    <n v="104.2"/>
    <n v="103.6"/>
    <n v="103.9"/>
    <n v="104.5"/>
    <n v="104.4"/>
    <n v="105.3"/>
    <n v="1384.2"/>
    <n v="319.7"/>
    <n v="209.3"/>
  </r>
  <r>
    <x v="0"/>
    <x v="0"/>
    <x v="2"/>
    <x v="6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m/>
    <n v="100.4"/>
    <n v="106.1"/>
    <n v="105.6"/>
    <n v="104.7"/>
    <n v="104.6"/>
    <n v="104"/>
    <n v="104.3"/>
    <n v="104.3"/>
    <n v="104.6"/>
    <n v="106"/>
    <n v="1382.2"/>
    <n v="321.89999999999998"/>
    <n v="210.5"/>
  </r>
  <r>
    <x v="1"/>
    <x v="0"/>
    <x v="2"/>
    <x v="7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0.4"/>
    <n v="106"/>
    <n v="105.7"/>
    <n v="105.2"/>
    <n v="105.5"/>
    <n v="103.5"/>
    <n v="103.8"/>
    <n v="104.2"/>
    <n v="104.9"/>
    <n v="105"/>
    <n v="1386.8"/>
    <n v="320.2"/>
    <n v="210.3"/>
  </r>
  <r>
    <x v="2"/>
    <x v="0"/>
    <x v="2"/>
    <x v="8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0.4"/>
    <n v="106.1"/>
    <n v="105.6"/>
    <n v="104.9"/>
    <n v="105.1"/>
    <n v="103.7"/>
    <n v="104"/>
    <n v="104.3"/>
    <n v="104.7"/>
    <n v="105.5"/>
    <n v="1384.0000000000002"/>
    <n v="321.2"/>
    <n v="210.3"/>
  </r>
  <r>
    <x v="0"/>
    <x v="0"/>
    <x v="3"/>
    <x v="6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m/>
    <n v="100.5"/>
    <n v="106.5"/>
    <n v="106.1"/>
    <n v="105.1"/>
    <n v="104.4"/>
    <n v="104.5"/>
    <n v="104.8"/>
    <n v="102.7"/>
    <n v="104.6"/>
    <n v="106.4"/>
    <n v="1385.8"/>
    <n v="323.5"/>
    <n v="211.6"/>
  </r>
  <r>
    <x v="1"/>
    <x v="0"/>
    <x v="3"/>
    <x v="9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0.5"/>
    <n v="106.4"/>
    <n v="106.5"/>
    <n v="105.7"/>
    <n v="105"/>
    <n v="104"/>
    <n v="105.2"/>
    <n v="103.2"/>
    <n v="105.1"/>
    <n v="105.7"/>
    <n v="1397.6999999999998"/>
    <n v="322"/>
    <n v="212.5"/>
  </r>
  <r>
    <x v="2"/>
    <x v="0"/>
    <x v="3"/>
    <x v="10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0.5"/>
    <n v="106.5"/>
    <n v="106.3"/>
    <n v="105.3"/>
    <n v="104.7"/>
    <n v="104.2"/>
    <n v="105"/>
    <n v="102.9"/>
    <n v="104.8"/>
    <n v="106.1"/>
    <n v="1390.2"/>
    <n v="322.89999999999998"/>
    <n v="211.7"/>
  </r>
  <r>
    <x v="0"/>
    <x v="0"/>
    <x v="4"/>
    <x v="11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m/>
    <n v="100.5"/>
    <n v="107.5"/>
    <n v="106.8"/>
    <n v="105.7"/>
    <n v="104.1"/>
    <n v="105"/>
    <n v="105.5"/>
    <n v="102.1"/>
    <n v="104.8"/>
    <n v="107.2"/>
    <n v="1394"/>
    <n v="325.29999999999995"/>
    <n v="213.1"/>
  </r>
  <r>
    <x v="1"/>
    <x v="0"/>
    <x v="4"/>
    <x v="12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0.5"/>
    <n v="107.2"/>
    <n v="107.1"/>
    <n v="106.2"/>
    <n v="103.9"/>
    <n v="104.6"/>
    <n v="105.7"/>
    <n v="102.6"/>
    <n v="104.9"/>
    <n v="106.6"/>
    <n v="1417.1999999999998"/>
    <n v="323.5"/>
    <n v="214.39999999999998"/>
  </r>
  <r>
    <x v="2"/>
    <x v="0"/>
    <x v="4"/>
    <x v="1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0.5"/>
    <n v="107.4"/>
    <n v="106.9"/>
    <n v="105.9"/>
    <n v="104"/>
    <n v="104.8"/>
    <n v="105.6"/>
    <n v="102.3"/>
    <n v="104.8"/>
    <n v="106.9"/>
    <n v="1402.1999999999998"/>
    <n v="324.60000000000002"/>
    <n v="213.39999999999998"/>
  </r>
  <r>
    <x v="0"/>
    <x v="0"/>
    <x v="5"/>
    <x v="1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m/>
    <n v="106.6"/>
    <n v="108.5"/>
    <n v="107.5"/>
    <n v="106.3"/>
    <n v="105"/>
    <n v="105.6"/>
    <n v="106.5"/>
    <n v="102.5"/>
    <n v="105.5"/>
    <n v="108.9"/>
    <n v="1420"/>
    <n v="328"/>
    <n v="214.6"/>
  </r>
  <r>
    <x v="1"/>
    <x v="0"/>
    <x v="5"/>
    <x v="14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6.6"/>
    <n v="108"/>
    <n v="107.7"/>
    <n v="106.5"/>
    <n v="105.2"/>
    <n v="105.2"/>
    <n v="108.1"/>
    <n v="103.3"/>
    <n v="106.1"/>
    <n v="109.7"/>
    <n v="1464.6000000000001"/>
    <n v="325.3"/>
    <n v="216.10000000000002"/>
  </r>
  <r>
    <x v="2"/>
    <x v="0"/>
    <x v="5"/>
    <x v="15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6.6"/>
    <n v="108.3"/>
    <n v="107.6"/>
    <n v="106.4"/>
    <n v="105.1"/>
    <n v="105.4"/>
    <n v="107.4"/>
    <n v="102.8"/>
    <n v="105.8"/>
    <n v="109.3"/>
    <n v="1436"/>
    <n v="326.89999999999998"/>
    <n v="214.9"/>
  </r>
  <r>
    <x v="0"/>
    <x v="0"/>
    <x v="6"/>
    <x v="16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m/>
    <n v="107.7"/>
    <n v="109.5"/>
    <n v="108.3"/>
    <n v="106.9"/>
    <n v="106.8"/>
    <n v="106.4"/>
    <n v="107.8"/>
    <n v="102.5"/>
    <n v="106.5"/>
    <n v="110.7"/>
    <n v="1445.8999999999996"/>
    <n v="330.3"/>
    <n v="216.2"/>
  </r>
  <r>
    <x v="1"/>
    <x v="0"/>
    <x v="6"/>
    <x v="17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7.7"/>
    <n v="108.6"/>
    <n v="108.1"/>
    <n v="107.1"/>
    <n v="107.3"/>
    <n v="105.9"/>
    <n v="110.1"/>
    <n v="103.2"/>
    <n v="107.3"/>
    <n v="111.4"/>
    <n v="1489.4"/>
    <n v="327.10000000000002"/>
    <n v="217.60000000000002"/>
  </r>
  <r>
    <x v="2"/>
    <x v="0"/>
    <x v="6"/>
    <x v="1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7.7"/>
    <n v="109.2"/>
    <n v="108.2"/>
    <n v="107"/>
    <n v="107.1"/>
    <n v="106.1"/>
    <n v="109.1"/>
    <n v="102.8"/>
    <n v="106.9"/>
    <n v="111"/>
    <n v="1461.3999999999999"/>
    <n v="329"/>
    <n v="216.39999999999998"/>
  </r>
  <r>
    <x v="0"/>
    <x v="0"/>
    <x v="7"/>
    <x v="19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m/>
    <n v="108.9"/>
    <n v="109.9"/>
    <n v="108.7"/>
    <n v="107.5"/>
    <n v="107.8"/>
    <n v="106.8"/>
    <n v="108.7"/>
    <n v="105"/>
    <n v="107.5"/>
    <n v="112.1"/>
    <n v="1462.5"/>
    <n v="332.6"/>
    <n v="217.5"/>
  </r>
  <r>
    <x v="1"/>
    <x v="0"/>
    <x v="7"/>
    <x v="20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8.9"/>
    <n v="109.3"/>
    <n v="108.7"/>
    <n v="107.6"/>
    <n v="108.1"/>
    <n v="106.5"/>
    <n v="110.8"/>
    <n v="106"/>
    <n v="108.3"/>
    <n v="112.7"/>
    <n v="1506.1000000000001"/>
    <n v="329.09999999999997"/>
    <n v="218.9"/>
  </r>
  <r>
    <x v="2"/>
    <x v="0"/>
    <x v="7"/>
    <x v="21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8.9"/>
    <n v="109.7"/>
    <n v="108.7"/>
    <n v="107.5"/>
    <n v="108"/>
    <n v="106.6"/>
    <n v="109.9"/>
    <n v="105.4"/>
    <n v="107.9"/>
    <n v="112.4"/>
    <n v="1477.4"/>
    <n v="331.1"/>
    <n v="217.8"/>
  </r>
  <r>
    <x v="0"/>
    <x v="0"/>
    <x v="8"/>
    <x v="12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m/>
    <n v="109.7"/>
    <n v="111.1"/>
    <n v="109.6"/>
    <n v="108.3"/>
    <n v="109.3"/>
    <n v="107.7"/>
    <n v="109.8"/>
    <n v="106.7"/>
    <n v="108.7"/>
    <n v="114.2"/>
    <n v="1488.5000000000002"/>
    <n v="336.6"/>
    <n v="219.4"/>
  </r>
  <r>
    <x v="1"/>
    <x v="0"/>
    <x v="8"/>
    <x v="22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7"/>
    <n v="109.5"/>
    <n v="109.6"/>
    <n v="107.9"/>
    <n v="110.4"/>
    <n v="107.4"/>
    <n v="111.2"/>
    <n v="106.9"/>
    <n v="109.4"/>
    <n v="113.2"/>
    <n v="1500.4"/>
    <n v="331.5"/>
    <n v="220.3"/>
  </r>
  <r>
    <x v="2"/>
    <x v="0"/>
    <x v="8"/>
    <x v="23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09.7"/>
    <n v="110.5"/>
    <n v="109.6"/>
    <n v="108.1"/>
    <n v="109.9"/>
    <n v="107.5"/>
    <n v="110.6"/>
    <n v="106.8"/>
    <n v="109"/>
    <n v="113.7"/>
    <n v="1491.6999999999998"/>
    <n v="334.5"/>
    <n v="219.5"/>
  </r>
  <r>
    <x v="0"/>
    <x v="0"/>
    <x v="9"/>
    <x v="24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m/>
    <n v="110.5"/>
    <n v="111.6"/>
    <n v="110.4"/>
    <n v="108.9"/>
    <n v="109.3"/>
    <n v="108.3"/>
    <n v="110.2"/>
    <n v="107.5"/>
    <n v="109.1"/>
    <n v="115.5"/>
    <n v="1508"/>
    <n v="339.29999999999995"/>
    <n v="220.5"/>
  </r>
  <r>
    <x v="1"/>
    <x v="0"/>
    <x v="9"/>
    <x v="25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10.5"/>
    <n v="109.7"/>
    <n v="110.2"/>
    <n v="108.2"/>
    <n v="109.7"/>
    <n v="108"/>
    <n v="111.3"/>
    <n v="107.3"/>
    <n v="109.4"/>
    <n v="114"/>
    <n v="1517.1999999999998"/>
    <n v="334.2"/>
    <n v="221.5"/>
  </r>
  <r>
    <x v="2"/>
    <x v="0"/>
    <x v="9"/>
    <x v="26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5"/>
    <n v="110.9"/>
    <n v="110.3"/>
    <n v="108.6"/>
    <n v="109.5"/>
    <n v="108.1"/>
    <n v="110.8"/>
    <n v="107.4"/>
    <n v="109.2"/>
    <n v="114.8"/>
    <n v="1510.2000000000003"/>
    <n v="337.2"/>
    <n v="220.6"/>
  </r>
  <r>
    <x v="0"/>
    <x v="0"/>
    <x v="10"/>
    <x v="27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m/>
    <n v="111.1"/>
    <n v="112.6"/>
    <n v="111.3"/>
    <n v="109.7"/>
    <n v="109.6"/>
    <n v="108.7"/>
    <n v="111"/>
    <n v="108.2"/>
    <n v="109.8"/>
    <n v="117.4"/>
    <n v="1536.8"/>
    <n v="342.1"/>
    <n v="221.5"/>
  </r>
  <r>
    <x v="1"/>
    <x v="0"/>
    <x v="11"/>
    <x v="2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1.1"/>
    <n v="110"/>
    <n v="110.9"/>
    <n v="108.6"/>
    <n v="109.5"/>
    <n v="108.5"/>
    <n v="111.3"/>
    <n v="107.9"/>
    <n v="109.6"/>
    <n v="115"/>
    <n v="1544.6"/>
    <n v="336.8"/>
    <n v="222.6"/>
  </r>
  <r>
    <x v="2"/>
    <x v="0"/>
    <x v="11"/>
    <x v="29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1"/>
    <n v="111.6"/>
    <n v="111.1"/>
    <n v="109.3"/>
    <n v="109.5"/>
    <n v="108.6"/>
    <n v="111.2"/>
    <n v="108.1"/>
    <n v="109.7"/>
    <n v="116.3"/>
    <n v="1538.8"/>
    <n v="339.90000000000003"/>
    <n v="221.7"/>
  </r>
  <r>
    <x v="0"/>
    <x v="0"/>
    <x v="12"/>
    <x v="30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m/>
    <n v="110.7"/>
    <n v="112.8"/>
    <n v="112.1"/>
    <n v="110.1"/>
    <n v="109.9"/>
    <n v="109.2"/>
    <n v="111.6"/>
    <n v="108.1"/>
    <n v="110.1"/>
    <n v="115.5"/>
    <n v="1509"/>
    <n v="345.3"/>
    <n v="222.8"/>
  </r>
  <r>
    <x v="1"/>
    <x v="0"/>
    <x v="12"/>
    <x v="31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7"/>
    <n v="110.4"/>
    <n v="111.3"/>
    <n v="109"/>
    <n v="109.7"/>
    <n v="108.9"/>
    <n v="111.4"/>
    <n v="107.7"/>
    <n v="109.8"/>
    <n v="113.3"/>
    <n v="1504.4"/>
    <n v="338.8"/>
    <n v="223.9"/>
  </r>
  <r>
    <x v="2"/>
    <x v="0"/>
    <x v="12"/>
    <x v="32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0.7"/>
    <n v="111.9"/>
    <n v="111.7"/>
    <n v="109.7"/>
    <n v="109.8"/>
    <n v="109"/>
    <n v="111.5"/>
    <n v="107.9"/>
    <n v="110"/>
    <n v="114.5"/>
    <n v="1507.3000000000002"/>
    <n v="342.7"/>
    <n v="223"/>
  </r>
  <r>
    <x v="0"/>
    <x v="1"/>
    <x v="0"/>
    <x v="25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m/>
    <n v="111.6"/>
    <n v="113"/>
    <n v="112.6"/>
    <n v="110.6"/>
    <n v="110.5"/>
    <n v="109.6"/>
    <n v="111.8"/>
    <n v="108.3"/>
    <n v="110.6"/>
    <n v="114.2"/>
    <n v="1486.6000000000001"/>
    <n v="347.2"/>
    <n v="223.6"/>
  </r>
  <r>
    <x v="1"/>
    <x v="1"/>
    <x v="0"/>
    <x v="33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.6"/>
    <n v="111"/>
    <n v="111.9"/>
    <n v="109.7"/>
    <n v="110.8"/>
    <n v="109.8"/>
    <n v="111.5"/>
    <n v="108"/>
    <n v="110.5"/>
    <n v="112.9"/>
    <n v="1484.3"/>
    <n v="340.4"/>
    <n v="225.5"/>
  </r>
  <r>
    <x v="2"/>
    <x v="1"/>
    <x v="0"/>
    <x v="34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1.6"/>
    <n v="112.2"/>
    <n v="112.3"/>
    <n v="110.3"/>
    <n v="110.7"/>
    <n v="109.7"/>
    <n v="111.6"/>
    <n v="108.2"/>
    <n v="110.6"/>
    <n v="113.6"/>
    <n v="1485.7999999999997"/>
    <n v="344.4"/>
    <n v="224.2"/>
  </r>
  <r>
    <x v="0"/>
    <x v="1"/>
    <x v="1"/>
    <x v="35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m/>
    <n v="112.5"/>
    <n v="113.2"/>
    <n v="112.9"/>
    <n v="110.9"/>
    <n v="110.8"/>
    <n v="109.9"/>
    <n v="112"/>
    <n v="108.7"/>
    <n v="110.9"/>
    <n v="114"/>
    <n v="1482.2"/>
    <n v="348.3"/>
    <n v="224.10000000000002"/>
  </r>
  <r>
    <x v="1"/>
    <x v="1"/>
    <x v="1"/>
    <x v="36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2.5"/>
    <n v="111.1"/>
    <n v="112.6"/>
    <n v="110.4"/>
    <n v="111.3"/>
    <n v="110.3"/>
    <n v="111.6"/>
    <n v="108.7"/>
    <n v="111"/>
    <n v="113.1"/>
    <n v="1476"/>
    <n v="341.7"/>
    <n v="226.5"/>
  </r>
  <r>
    <x v="2"/>
    <x v="1"/>
    <x v="1"/>
    <x v="37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5"/>
    <n v="112.4"/>
    <n v="112.8"/>
    <n v="110.7"/>
    <n v="111.1"/>
    <n v="110.1"/>
    <n v="111.8"/>
    <n v="108.7"/>
    <n v="110.9"/>
    <n v="113.6"/>
    <n v="1480.1"/>
    <n v="345.6"/>
    <n v="224.8"/>
  </r>
  <r>
    <x v="0"/>
    <x v="1"/>
    <x v="2"/>
    <x v="38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m/>
    <n v="113.2"/>
    <n v="113.4"/>
    <n v="113.4"/>
    <n v="111.4"/>
    <n v="111.2"/>
    <n v="110.2"/>
    <n v="112.4"/>
    <n v="108.9"/>
    <n v="111.3"/>
    <n v="114.6"/>
    <n v="1491.4"/>
    <n v="349.6"/>
    <n v="224.8"/>
  </r>
  <r>
    <x v="1"/>
    <x v="1"/>
    <x v="2"/>
    <x v="39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3.2"/>
    <n v="110.9"/>
    <n v="113"/>
    <n v="110.8"/>
    <n v="111.6"/>
    <n v="110.9"/>
    <n v="111.8"/>
    <n v="109.2"/>
    <n v="111.4"/>
    <n v="113.7"/>
    <n v="1483"/>
    <n v="343.09999999999997"/>
    <n v="227.60000000000002"/>
  </r>
  <r>
    <x v="2"/>
    <x v="1"/>
    <x v="2"/>
    <x v="40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3.2"/>
    <n v="112.5"/>
    <n v="113.2"/>
    <n v="111.2"/>
    <n v="111.4"/>
    <n v="110.6"/>
    <n v="112"/>
    <n v="109"/>
    <n v="111.3"/>
    <n v="114.2"/>
    <n v="1488.2999999999997"/>
    <n v="346.9"/>
    <n v="225.8"/>
  </r>
  <r>
    <x v="0"/>
    <x v="1"/>
    <x v="3"/>
    <x v="37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m/>
    <n v="113.9"/>
    <n v="113.4"/>
    <n v="113.7"/>
    <n v="111.8"/>
    <n v="111.2"/>
    <n v="110.5"/>
    <n v="113"/>
    <n v="108.9"/>
    <n v="111.5"/>
    <n v="115.4"/>
    <n v="1504.1000000000001"/>
    <n v="352"/>
    <n v="225.9"/>
  </r>
  <r>
    <x v="1"/>
    <x v="1"/>
    <x v="3"/>
    <x v="41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3.9"/>
    <n v="110.9"/>
    <n v="113.4"/>
    <n v="111"/>
    <n v="111.2"/>
    <n v="111.2"/>
    <n v="112.5"/>
    <n v="109.1"/>
    <n v="111.4"/>
    <n v="114.7"/>
    <n v="1504.0000000000002"/>
    <n v="344.5"/>
    <n v="228.8"/>
  </r>
  <r>
    <x v="2"/>
    <x v="1"/>
    <x v="3"/>
    <x v="42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3.9"/>
    <n v="112.5"/>
    <n v="113.6"/>
    <n v="111.5"/>
    <n v="111.2"/>
    <n v="110.9"/>
    <n v="112.7"/>
    <n v="109"/>
    <n v="111.5"/>
    <n v="115.1"/>
    <n v="1504.1"/>
    <n v="349"/>
    <n v="226.9"/>
  </r>
  <r>
    <x v="0"/>
    <x v="1"/>
    <x v="4"/>
    <x v="4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m/>
    <n v="114.3"/>
    <n v="113.4"/>
    <n v="114.1"/>
    <n v="112.1"/>
    <n v="111.4"/>
    <n v="110.9"/>
    <n v="113.1"/>
    <n v="108.9"/>
    <n v="111.8"/>
    <n v="116"/>
    <n v="1513.8999999999999"/>
    <n v="354"/>
    <n v="227.2"/>
  </r>
  <r>
    <x v="1"/>
    <x v="1"/>
    <x v="4"/>
    <x v="44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4.3"/>
    <n v="111.1"/>
    <n v="114.1"/>
    <n v="111.2"/>
    <n v="111.3"/>
    <n v="111.5"/>
    <n v="112.9"/>
    <n v="109.3"/>
    <n v="111.7"/>
    <n v="115.6"/>
    <n v="1525.3000000000002"/>
    <n v="345.9"/>
    <n v="229.8"/>
  </r>
  <r>
    <x v="2"/>
    <x v="1"/>
    <x v="4"/>
    <x v="45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4.3"/>
    <n v="112.5"/>
    <n v="114.1"/>
    <n v="111.8"/>
    <n v="111.3"/>
    <n v="111.2"/>
    <n v="113"/>
    <n v="109.1"/>
    <n v="111.8"/>
    <n v="115.8"/>
    <n v="1518.5000000000005"/>
    <n v="350.79999999999995"/>
    <n v="228"/>
  </r>
  <r>
    <x v="0"/>
    <x v="1"/>
    <x v="5"/>
    <x v="40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m/>
    <n v="113.9"/>
    <n v="114.4"/>
    <n v="114.9"/>
    <n v="112.8"/>
    <n v="112.2"/>
    <n v="111.4"/>
    <n v="114.3"/>
    <n v="108"/>
    <n v="112.3"/>
    <n v="117"/>
    <n v="1525.6999999999998"/>
    <n v="356.3"/>
    <n v="228.7"/>
  </r>
  <r>
    <x v="1"/>
    <x v="1"/>
    <x v="5"/>
    <x v="46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3.9"/>
    <n v="111.2"/>
    <n v="114.3"/>
    <n v="111.4"/>
    <n v="111.5"/>
    <n v="111.8"/>
    <n v="115.1"/>
    <n v="108.7"/>
    <n v="112.2"/>
    <n v="116.4"/>
    <n v="1547"/>
    <n v="347.3"/>
    <n v="230.8"/>
  </r>
  <r>
    <x v="2"/>
    <x v="1"/>
    <x v="5"/>
    <x v="47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9"/>
    <n v="113.2"/>
    <n v="114.6"/>
    <n v="112.3"/>
    <n v="111.8"/>
    <n v="111.6"/>
    <n v="114.8"/>
    <n v="108.3"/>
    <n v="112.3"/>
    <n v="116.7"/>
    <n v="1533.7000000000003"/>
    <n v="352.7"/>
    <n v="229.39999999999998"/>
  </r>
  <r>
    <x v="0"/>
    <x v="1"/>
    <x v="6"/>
    <x v="48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m/>
    <n v="114.8"/>
    <n v="115.3"/>
    <n v="115.4"/>
    <n v="113.4"/>
    <n v="113.2"/>
    <n v="111.8"/>
    <n v="115.5"/>
    <n v="108.8"/>
    <n v="113.1"/>
    <n v="119.5"/>
    <n v="1563.2"/>
    <n v="359.3"/>
    <n v="229.8"/>
  </r>
  <r>
    <x v="1"/>
    <x v="1"/>
    <x v="6"/>
    <x v="49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4.8"/>
    <n v="111.6"/>
    <n v="114.9"/>
    <n v="111.5"/>
    <n v="113"/>
    <n v="112.4"/>
    <n v="117.8"/>
    <n v="109.7"/>
    <n v="113.5"/>
    <n v="118.9"/>
    <n v="1599.5"/>
    <n v="349"/>
    <n v="233.4"/>
  </r>
  <r>
    <x v="2"/>
    <x v="1"/>
    <x v="6"/>
    <x v="50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4.8"/>
    <n v="113.9"/>
    <n v="115.2"/>
    <n v="112.7"/>
    <n v="113.1"/>
    <n v="112.1"/>
    <n v="116.8"/>
    <n v="109.2"/>
    <n v="113.3"/>
    <n v="119.2"/>
    <n v="1576.3"/>
    <n v="355"/>
    <n v="230.89999999999998"/>
  </r>
  <r>
    <x v="0"/>
    <x v="1"/>
    <x v="7"/>
    <x v="51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m/>
    <n v="115.5"/>
    <n v="115.4"/>
    <n v="115.9"/>
    <n v="114"/>
    <n v="113.2"/>
    <n v="112.2"/>
    <n v="116.2"/>
    <n v="109.4"/>
    <n v="113.5"/>
    <n v="120.7"/>
    <n v="1582.2999999999997"/>
    <n v="360.4"/>
    <n v="231"/>
  </r>
  <r>
    <x v="1"/>
    <x v="1"/>
    <x v="7"/>
    <x v="52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5.5"/>
    <n v="111.8"/>
    <n v="115.3"/>
    <n v="112.2"/>
    <n v="112.5"/>
    <n v="112.9"/>
    <n v="119.2"/>
    <n v="110.5"/>
    <n v="113.9"/>
    <n v="119.9"/>
    <n v="1617"/>
    <n v="350.6"/>
    <n v="235.9"/>
  </r>
  <r>
    <x v="2"/>
    <x v="1"/>
    <x v="7"/>
    <x v="44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5.5"/>
    <n v="114"/>
    <n v="115.6"/>
    <n v="113.3"/>
    <n v="112.8"/>
    <n v="112.6"/>
    <n v="118"/>
    <n v="109.9"/>
    <n v="113.7"/>
    <n v="120.3"/>
    <n v="1594.4999999999998"/>
    <n v="356.4"/>
    <n v="232.5"/>
  </r>
  <r>
    <x v="0"/>
    <x v="1"/>
    <x v="8"/>
    <x v="5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m/>
    <n v="116.1"/>
    <n v="115.8"/>
    <n v="116.7"/>
    <n v="114.5"/>
    <n v="112.8"/>
    <n v="112.6"/>
    <n v="116.6"/>
    <n v="109.1"/>
    <n v="113.7"/>
    <n v="120.9"/>
    <n v="1583.2"/>
    <n v="362.2"/>
    <n v="232.1"/>
  </r>
  <r>
    <x v="1"/>
    <x v="1"/>
    <x v="8"/>
    <x v="54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6.1"/>
    <n v="111.8"/>
    <n v="115.5"/>
    <n v="112.3"/>
    <n v="111.2"/>
    <n v="113.4"/>
    <n v="120"/>
    <n v="110"/>
    <n v="113.6"/>
    <n v="119.2"/>
    <n v="1593.7000000000003"/>
    <n v="352.1"/>
    <n v="237.7"/>
  </r>
  <r>
    <x v="2"/>
    <x v="1"/>
    <x v="8"/>
    <x v="55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6.1"/>
    <n v="114.3"/>
    <n v="116.1"/>
    <n v="113.7"/>
    <n v="112"/>
    <n v="113.1"/>
    <n v="118.6"/>
    <n v="109.5"/>
    <n v="113.7"/>
    <n v="120.1"/>
    <n v="1586.0999999999997"/>
    <n v="358"/>
    <n v="233.89999999999998"/>
  </r>
  <r>
    <x v="0"/>
    <x v="1"/>
    <x v="9"/>
    <x v="5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m/>
    <n v="116.7"/>
    <n v="116.4"/>
    <n v="117.5"/>
    <n v="115.3"/>
    <n v="112.6"/>
    <n v="113"/>
    <n v="116.9"/>
    <n v="109.3"/>
    <n v="114"/>
    <n v="121"/>
    <n v="1581.1999999999998"/>
    <n v="365.3"/>
    <n v="233"/>
  </r>
  <r>
    <x v="1"/>
    <x v="1"/>
    <x v="9"/>
    <x v="57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6.7"/>
    <n v="112"/>
    <n v="115.8"/>
    <n v="112.6"/>
    <n v="111"/>
    <n v="113.6"/>
    <n v="120.2"/>
    <n v="110.1"/>
    <n v="113.7"/>
    <n v="119.1"/>
    <n v="1587.5"/>
    <n v="353.4"/>
    <n v="237.89999999999998"/>
  </r>
  <r>
    <x v="2"/>
    <x v="1"/>
    <x v="9"/>
    <x v="58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6.7"/>
    <n v="114.7"/>
    <n v="116.7"/>
    <n v="114.3"/>
    <n v="111.8"/>
    <n v="113.3"/>
    <n v="118.8"/>
    <n v="109.6"/>
    <n v="113.9"/>
    <n v="120.1"/>
    <n v="1582.7"/>
    <n v="360.6"/>
    <n v="234.39999999999998"/>
  </r>
  <r>
    <x v="0"/>
    <x v="1"/>
    <x v="11"/>
    <x v="44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m/>
    <n v="117.1"/>
    <n v="117.3"/>
    <n v="118.1"/>
    <n v="115.9"/>
    <n v="112"/>
    <n v="113.3"/>
    <n v="117.2"/>
    <n v="108.8"/>
    <n v="114.1"/>
    <n v="121.1"/>
    <n v="1582"/>
    <n v="366.70000000000005"/>
    <n v="234.1"/>
  </r>
  <r>
    <x v="1"/>
    <x v="1"/>
    <x v="11"/>
    <x v="59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7.1"/>
    <n v="112.6"/>
    <n v="116.4"/>
    <n v="113"/>
    <n v="109.7"/>
    <n v="114"/>
    <n v="120.3"/>
    <n v="109.6"/>
    <n v="113.4"/>
    <n v="119"/>
    <n v="1587.8"/>
    <n v="355.2"/>
    <n v="239.8"/>
  </r>
  <r>
    <x v="2"/>
    <x v="1"/>
    <x v="11"/>
    <x v="60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7.1"/>
    <n v="115.5"/>
    <n v="117.3"/>
    <n v="114.8"/>
    <n v="110.8"/>
    <n v="113.7"/>
    <n v="119"/>
    <n v="109.1"/>
    <n v="113.8"/>
    <n v="120.1"/>
    <n v="1583.2"/>
    <n v="362.1"/>
    <n v="235.8"/>
  </r>
  <r>
    <x v="0"/>
    <x v="1"/>
    <x v="12"/>
    <x v="50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m/>
    <n v="116.5"/>
    <n v="117.4"/>
    <n v="118.2"/>
    <n v="116.2"/>
    <n v="111.5"/>
    <n v="113.3"/>
    <n v="117.7"/>
    <n v="109.4"/>
    <n v="114.2"/>
    <n v="120.3"/>
    <n v="1569.6"/>
    <n v="367.7"/>
    <n v="235"/>
  </r>
  <r>
    <x v="1"/>
    <x v="1"/>
    <x v="12"/>
    <x v="61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6.5"/>
    <n v="113"/>
    <n v="116.8"/>
    <n v="113.2"/>
    <n v="108.8"/>
    <n v="114.3"/>
    <n v="120.7"/>
    <n v="110.4"/>
    <n v="113.4"/>
    <n v="118.4"/>
    <n v="1577.1999999999998"/>
    <n v="356.5"/>
    <n v="240.7"/>
  </r>
  <r>
    <x v="2"/>
    <x v="1"/>
    <x v="12"/>
    <x v="55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6.5"/>
    <n v="115.7"/>
    <n v="117.5"/>
    <n v="115.1"/>
    <n v="110.1"/>
    <n v="113.9"/>
    <n v="119.5"/>
    <n v="109.8"/>
    <n v="113.8"/>
    <n v="119.4"/>
    <n v="1571.6999999999998"/>
    <n v="363.2"/>
    <n v="236.9"/>
  </r>
  <r>
    <x v="0"/>
    <x v="2"/>
    <x v="0"/>
    <x v="46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m/>
    <n v="117.3"/>
    <n v="118.4"/>
    <n v="118.9"/>
    <n v="116.6"/>
    <n v="111"/>
    <n v="114"/>
    <n v="118.2"/>
    <n v="110.2"/>
    <n v="114.5"/>
    <n v="120.3"/>
    <n v="1568.1"/>
    <n v="370"/>
    <n v="236.7"/>
  </r>
  <r>
    <x v="1"/>
    <x v="2"/>
    <x v="0"/>
    <x v="61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7.3"/>
    <n v="113.4"/>
    <n v="117.2"/>
    <n v="113.7"/>
    <n v="107.9"/>
    <n v="114.6"/>
    <n v="120.8"/>
    <n v="111.4"/>
    <n v="113.4"/>
    <n v="118.5"/>
    <n v="1574.8999999999999"/>
    <n v="357.3"/>
    <n v="242"/>
  </r>
  <r>
    <x v="2"/>
    <x v="2"/>
    <x v="0"/>
    <x v="62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7.3"/>
    <n v="116.5"/>
    <n v="118.1"/>
    <n v="115.5"/>
    <n v="109.4"/>
    <n v="114.3"/>
    <n v="119.7"/>
    <n v="110.7"/>
    <n v="114"/>
    <n v="119.5"/>
    <n v="1569.3"/>
    <n v="364.9"/>
    <n v="238.3"/>
  </r>
  <r>
    <x v="0"/>
    <x v="2"/>
    <x v="1"/>
    <x v="62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m/>
    <n v="118.1"/>
    <n v="120"/>
    <n v="119.6"/>
    <n v="117.7"/>
    <n v="110.9"/>
    <n v="114.8"/>
    <n v="118.7"/>
    <n v="110.8"/>
    <n v="115"/>
    <n v="120.6"/>
    <n v="1570.5999999999997"/>
    <n v="373.1"/>
    <n v="239"/>
  </r>
  <r>
    <x v="1"/>
    <x v="2"/>
    <x v="1"/>
    <x v="6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8.1"/>
    <n v="114"/>
    <n v="117.7"/>
    <n v="114.1"/>
    <n v="106.8"/>
    <n v="114.9"/>
    <n v="120.4"/>
    <n v="111.7"/>
    <n v="113.2"/>
    <n v="118.7"/>
    <n v="1571.1000000000001"/>
    <n v="358.4"/>
    <n v="243"/>
  </r>
  <r>
    <x v="2"/>
    <x v="2"/>
    <x v="1"/>
    <x v="64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8.1"/>
    <n v="117.7"/>
    <n v="118.7"/>
    <n v="116.3"/>
    <n v="108.7"/>
    <n v="114.9"/>
    <n v="119.7"/>
    <n v="111.2"/>
    <n v="114.1"/>
    <n v="119.7"/>
    <n v="1569.3999999999996"/>
    <n v="367.2"/>
    <n v="240.10000000000002"/>
  </r>
  <r>
    <x v="0"/>
    <x v="2"/>
    <x v="2"/>
    <x v="60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m/>
    <n v="118.6"/>
    <n v="120.6"/>
    <n v="120.2"/>
    <n v="118.2"/>
    <n v="111.6"/>
    <n v="115.5"/>
    <n v="119.4"/>
    <n v="110.8"/>
    <n v="115.5"/>
    <n v="121.1"/>
    <n v="1571.5"/>
    <n v="374.4"/>
    <n v="240.2"/>
  </r>
  <r>
    <x v="1"/>
    <x v="2"/>
    <x v="2"/>
    <x v="61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8.6"/>
    <n v="114.4"/>
    <n v="118"/>
    <n v="114.3"/>
    <n v="108.4"/>
    <n v="115.4"/>
    <n v="120.6"/>
    <n v="111.3"/>
    <n v="113.8"/>
    <n v="119.1"/>
    <n v="1568.0000000000002"/>
    <n v="359.5"/>
    <n v="244.20000000000002"/>
  </r>
  <r>
    <x v="2"/>
    <x v="2"/>
    <x v="2"/>
    <x v="6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6"/>
    <n v="118.3"/>
    <n v="119.2"/>
    <n v="116.7"/>
    <n v="109.9"/>
    <n v="115.4"/>
    <n v="120.1"/>
    <n v="111"/>
    <n v="114.7"/>
    <n v="120.2"/>
    <n v="1569.1"/>
    <n v="368.4"/>
    <n v="241.2"/>
  </r>
  <r>
    <x v="0"/>
    <x v="2"/>
    <x v="3"/>
    <x v="60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m/>
    <n v="119.2"/>
    <n v="121.2"/>
    <n v="120.9"/>
    <n v="118.6"/>
    <n v="111.9"/>
    <n v="116.2"/>
    <n v="119.9"/>
    <n v="111.6"/>
    <n v="116"/>
    <n v="121.5"/>
    <n v="1577.2"/>
    <n v="375.7"/>
    <n v="241.9"/>
  </r>
  <r>
    <x v="1"/>
    <x v="2"/>
    <x v="3"/>
    <x v="49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9.2"/>
    <n v="114.7"/>
    <n v="118.4"/>
    <n v="114.6"/>
    <n v="108.4"/>
    <n v="115.6"/>
    <n v="121.7"/>
    <n v="111.8"/>
    <n v="114.2"/>
    <n v="119.7"/>
    <n v="1576.1"/>
    <n v="360.6"/>
    <n v="245.7"/>
  </r>
  <r>
    <x v="2"/>
    <x v="2"/>
    <x v="3"/>
    <x v="6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9.2"/>
    <n v="118.7"/>
    <n v="119.7"/>
    <n v="117.1"/>
    <n v="110.1"/>
    <n v="115.9"/>
    <n v="121"/>
    <n v="111.7"/>
    <n v="115.1"/>
    <n v="120.7"/>
    <n v="1575.7"/>
    <n v="369.6"/>
    <n v="242.8"/>
  </r>
  <r>
    <x v="0"/>
    <x v="2"/>
    <x v="4"/>
    <x v="6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m/>
    <n v="119.6"/>
    <n v="121.9"/>
    <n v="121.5"/>
    <n v="119.4"/>
    <n v="113.3"/>
    <n v="116.7"/>
    <n v="120.5"/>
    <n v="112.3"/>
    <n v="116.9"/>
    <n v="122.4"/>
    <n v="1587.7"/>
    <n v="378.2"/>
    <n v="243.4"/>
  </r>
  <r>
    <x v="1"/>
    <x v="2"/>
    <x v="4"/>
    <x v="49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9.6"/>
    <n v="114.9"/>
    <n v="118.7"/>
    <n v="114.9"/>
    <n v="110.8"/>
    <n v="116"/>
    <n v="122"/>
    <n v="112.4"/>
    <n v="115.2"/>
    <n v="120.7"/>
    <n v="1598.9"/>
    <n v="361.4"/>
    <n v="247.3"/>
  </r>
  <r>
    <x v="2"/>
    <x v="2"/>
    <x v="4"/>
    <x v="6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6"/>
    <n v="119.2"/>
    <n v="120.2"/>
    <n v="117.7"/>
    <n v="112"/>
    <n v="116.3"/>
    <n v="121.4"/>
    <n v="112.3"/>
    <n v="116.1"/>
    <n v="121.6"/>
    <n v="1590.4"/>
    <n v="371.4"/>
    <n v="244.2"/>
  </r>
  <r>
    <x v="0"/>
    <x v="2"/>
    <x v="5"/>
    <x v="67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m/>
    <n v="119"/>
    <n v="122.6"/>
    <n v="122.8"/>
    <n v="120.4"/>
    <n v="114.2"/>
    <n v="117.9"/>
    <n v="122"/>
    <n v="113"/>
    <n v="117.9"/>
    <n v="124.1"/>
    <n v="1617.8999999999999"/>
    <n v="381.5"/>
    <n v="246.1"/>
  </r>
  <r>
    <x v="1"/>
    <x v="2"/>
    <x v="5"/>
    <x v="6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9"/>
    <n v="115.1"/>
    <n v="119.2"/>
    <n v="115.4"/>
    <n v="111.7"/>
    <n v="116.2"/>
    <n v="123.8"/>
    <n v="112.5"/>
    <n v="116"/>
    <n v="121.7"/>
    <n v="1636.6"/>
    <n v="363.1"/>
    <n v="248.3"/>
  </r>
  <r>
    <x v="2"/>
    <x v="2"/>
    <x v="5"/>
    <x v="68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"/>
    <n v="119.8"/>
    <n v="121.1"/>
    <n v="118.5"/>
    <n v="112.9"/>
    <n v="116.9"/>
    <n v="123.1"/>
    <n v="112.8"/>
    <n v="117"/>
    <n v="123"/>
    <n v="1623.5"/>
    <n v="374.1"/>
    <n v="246.1"/>
  </r>
  <r>
    <x v="0"/>
    <x v="2"/>
    <x v="6"/>
    <x v="61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m/>
    <n v="119.9"/>
    <n v="123"/>
    <n v="123"/>
    <n v="120.8"/>
    <n v="114.1"/>
    <n v="118"/>
    <n v="122.9"/>
    <n v="112.7"/>
    <n v="118.1"/>
    <n v="124.7"/>
    <n v="1625.3"/>
    <n v="382.6"/>
    <n v="247.4"/>
  </r>
  <r>
    <x v="1"/>
    <x v="2"/>
    <x v="6"/>
    <x v="58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9.9"/>
    <n v="115.3"/>
    <n v="119.5"/>
    <n v="116"/>
    <n v="111.5"/>
    <n v="116.6"/>
    <n v="125.4"/>
    <n v="111.7"/>
    <n v="116.3"/>
    <n v="122.4"/>
    <n v="1642.8999999999999"/>
    <n v="364.1"/>
    <n v="249.7"/>
  </r>
  <r>
    <x v="2"/>
    <x v="2"/>
    <x v="6"/>
    <x v="64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19.9"/>
    <n v="120.1"/>
    <n v="121.3"/>
    <n v="119"/>
    <n v="112.7"/>
    <n v="117.2"/>
    <n v="124.4"/>
    <n v="112.3"/>
    <n v="117.2"/>
    <n v="123.6"/>
    <n v="1630.6000000000001"/>
    <n v="375.1"/>
    <n v="247.60000000000002"/>
  </r>
  <r>
    <x v="0"/>
    <x v="2"/>
    <x v="7"/>
    <x v="69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m/>
    <n v="120.9"/>
    <n v="123.8"/>
    <n v="123.7"/>
    <n v="121.1"/>
    <n v="113.6"/>
    <n v="118.5"/>
    <n v="123.6"/>
    <n v="112.5"/>
    <n v="118.2"/>
    <n v="126.1"/>
    <n v="1646.6"/>
    <n v="384.8"/>
    <n v="248.6"/>
  </r>
  <r>
    <x v="1"/>
    <x v="2"/>
    <x v="7"/>
    <x v="46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20.9"/>
    <n v="115.3"/>
    <n v="120"/>
    <n v="116.6"/>
    <n v="109.9"/>
    <n v="117.2"/>
    <n v="126.2"/>
    <n v="112"/>
    <n v="116.2"/>
    <n v="123.2"/>
    <n v="1658.8999999999999"/>
    <n v="364.8"/>
    <n v="251.39999999999998"/>
  </r>
  <r>
    <x v="2"/>
    <x v="2"/>
    <x v="7"/>
    <x v="54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9"/>
    <n v="120.6"/>
    <n v="122"/>
    <n v="119.4"/>
    <n v="111.7"/>
    <n v="117.8"/>
    <n v="125.1"/>
    <n v="112.3"/>
    <n v="117.2"/>
    <n v="124.8"/>
    <n v="1649.6"/>
    <n v="376.70000000000005"/>
    <n v="249"/>
  </r>
  <r>
    <x v="0"/>
    <x v="2"/>
    <x v="8"/>
    <x v="70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m/>
    <n v="121.6"/>
    <n v="123.7"/>
    <n v="124.5"/>
    <n v="121.4"/>
    <n v="113.8"/>
    <n v="119.6"/>
    <n v="124.5"/>
    <n v="113.7"/>
    <n v="118.8"/>
    <n v="127"/>
    <n v="1657.6000000000001"/>
    <n v="387.1"/>
    <n v="250.6"/>
  </r>
  <r>
    <x v="1"/>
    <x v="2"/>
    <x v="8"/>
    <x v="62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21.6"/>
    <n v="115.1"/>
    <n v="120.4"/>
    <n v="117.1"/>
    <n v="109.1"/>
    <n v="117.3"/>
    <n v="126.5"/>
    <n v="112.9"/>
    <n v="116.2"/>
    <n v="123.5"/>
    <n v="1664.8"/>
    <n v="365.8"/>
    <n v="252"/>
  </r>
  <r>
    <x v="2"/>
    <x v="2"/>
    <x v="8"/>
    <x v="57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1.6"/>
    <n v="120.4"/>
    <n v="122.6"/>
    <n v="119.8"/>
    <n v="111.3"/>
    <n v="118.3"/>
    <n v="125.7"/>
    <n v="113.4"/>
    <n v="117.5"/>
    <n v="125.4"/>
    <n v="1658.3000000000002"/>
    <n v="378.5"/>
    <n v="250.3"/>
  </r>
  <r>
    <x v="0"/>
    <x v="2"/>
    <x v="9"/>
    <x v="71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m/>
    <n v="122.4"/>
    <n v="124.4"/>
    <n v="125.1"/>
    <n v="122"/>
    <n v="113.8"/>
    <n v="120.1"/>
    <n v="125.1"/>
    <n v="114.2"/>
    <n v="119.2"/>
    <n v="127.7"/>
    <n v="1674.6"/>
    <n v="389"/>
    <n v="251.6"/>
  </r>
  <r>
    <x v="1"/>
    <x v="2"/>
    <x v="9"/>
    <x v="6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22.4"/>
    <n v="114.9"/>
    <n v="120.7"/>
    <n v="117.7"/>
    <n v="109.3"/>
    <n v="117.7"/>
    <n v="126.5"/>
    <n v="113.5"/>
    <n v="116.5"/>
    <n v="124.2"/>
    <n v="1692.8000000000002"/>
    <n v="366.79999999999995"/>
    <n v="253"/>
  </r>
  <r>
    <x v="2"/>
    <x v="2"/>
    <x v="9"/>
    <x v="72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2.4"/>
    <n v="120.8"/>
    <n v="123"/>
    <n v="120.4"/>
    <n v="111.4"/>
    <n v="118.7"/>
    <n v="125.9"/>
    <n v="113.9"/>
    <n v="117.9"/>
    <n v="126.1"/>
    <n v="1678.9999999999998"/>
    <n v="380.1"/>
    <n v="251.2"/>
  </r>
  <r>
    <x v="0"/>
    <x v="2"/>
    <x v="11"/>
    <x v="73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m/>
    <n v="122.9"/>
    <n v="125.6"/>
    <n v="125.6"/>
    <n v="122.6"/>
    <n v="114"/>
    <n v="120.9"/>
    <n v="125.8"/>
    <n v="114.2"/>
    <n v="119.6"/>
    <n v="128.30000000000001"/>
    <n v="1686.3"/>
    <n v="391.79999999999995"/>
    <n v="253.1"/>
  </r>
  <r>
    <x v="1"/>
    <x v="2"/>
    <x v="11"/>
    <x v="61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22.9"/>
    <n v="115.1"/>
    <n v="121"/>
    <n v="118.1"/>
    <n v="109.3"/>
    <n v="117.9"/>
    <n v="126.6"/>
    <n v="113.3"/>
    <n v="116.6"/>
    <n v="124.6"/>
    <n v="1708.4999999999998"/>
    <n v="368.5"/>
    <n v="255.5"/>
  </r>
  <r>
    <x v="2"/>
    <x v="2"/>
    <x v="11"/>
    <x v="7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2.9"/>
    <n v="121.6"/>
    <n v="123.4"/>
    <n v="120.9"/>
    <n v="111.5"/>
    <n v="119.2"/>
    <n v="126.3"/>
    <n v="113.8"/>
    <n v="118.1"/>
    <n v="126.6"/>
    <n v="1692.1"/>
    <n v="382.4"/>
    <n v="252.8"/>
  </r>
  <r>
    <x v="0"/>
    <x v="2"/>
    <x v="12"/>
    <x v="75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m/>
    <n v="122.4"/>
    <n v="125.7"/>
    <n v="126"/>
    <n v="123.1"/>
    <n v="114"/>
    <n v="121.6"/>
    <n v="125.6"/>
    <n v="114.1"/>
    <n v="119.8"/>
    <n v="127.9"/>
    <n v="1682.3000000000002"/>
    <n v="392.9"/>
    <n v="254.7"/>
  </r>
  <r>
    <x v="1"/>
    <x v="2"/>
    <x v="12"/>
    <x v="6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22.4"/>
    <n v="116"/>
    <n v="121"/>
    <n v="118.6"/>
    <n v="109.3"/>
    <n v="118.1"/>
    <n v="126.6"/>
    <n v="113.2"/>
    <n v="116.7"/>
    <n v="124"/>
    <n v="1698.8"/>
    <n v="369.4"/>
    <n v="256.29999999999995"/>
  </r>
  <r>
    <x v="2"/>
    <x v="2"/>
    <x v="12"/>
    <x v="76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.4"/>
    <n v="122"/>
    <n v="123.6"/>
    <n v="121.4"/>
    <n v="111.5"/>
    <n v="119.6"/>
    <n v="126.2"/>
    <n v="113.7"/>
    <n v="118.3"/>
    <n v="126.1"/>
    <n v="1686.1000000000001"/>
    <n v="383.5"/>
    <n v="254.1"/>
  </r>
  <r>
    <x v="0"/>
    <x v="3"/>
    <x v="0"/>
    <x v="77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m/>
    <n v="123.4"/>
    <n v="126.2"/>
    <n v="126.6"/>
    <n v="123.7"/>
    <n v="113.6"/>
    <n v="121.4"/>
    <n v="126.2"/>
    <n v="114.9"/>
    <n v="120.1"/>
    <n v="128.1"/>
    <n v="1690.1000000000001"/>
    <n v="394.70000000000005"/>
    <n v="255"/>
  </r>
  <r>
    <x v="1"/>
    <x v="3"/>
    <x v="0"/>
    <x v="69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23.4"/>
    <n v="116.9"/>
    <n v="121.6"/>
    <n v="119.1"/>
    <n v="108.9"/>
    <n v="118.5"/>
    <n v="126.4"/>
    <n v="114"/>
    <n v="116.8"/>
    <n v="124.2"/>
    <n v="1701.4"/>
    <n v="370.5"/>
    <n v="258"/>
  </r>
  <r>
    <x v="2"/>
    <x v="3"/>
    <x v="0"/>
    <x v="73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3.4"/>
    <n v="122.7"/>
    <n v="124.2"/>
    <n v="122"/>
    <n v="111.1"/>
    <n v="119.8"/>
    <n v="126.3"/>
    <n v="114.5"/>
    <n v="118.5"/>
    <n v="126.3"/>
    <n v="1691.7"/>
    <n v="384.9"/>
    <n v="255"/>
  </r>
  <r>
    <x v="0"/>
    <x v="3"/>
    <x v="1"/>
    <x v="78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m/>
    <n v="124.4"/>
    <n v="127.5"/>
    <n v="127.1"/>
    <n v="124.3"/>
    <n v="113.9"/>
    <n v="122.3"/>
    <n v="127.1"/>
    <n v="116.8"/>
    <n v="120.9"/>
    <n v="127.9"/>
    <n v="1682.6"/>
    <n v="397.1"/>
    <n v="256.7"/>
  </r>
  <r>
    <x v="1"/>
    <x v="3"/>
    <x v="1"/>
    <x v="52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24.4"/>
    <n v="116"/>
    <n v="121.8"/>
    <n v="119.5"/>
    <n v="109.1"/>
    <n v="118.8"/>
    <n v="126.3"/>
    <n v="116.2"/>
    <n v="117.2"/>
    <n v="123.8"/>
    <n v="1676.1"/>
    <n v="371.6"/>
    <n v="258.8"/>
  </r>
  <r>
    <x v="2"/>
    <x v="3"/>
    <x v="1"/>
    <x v="79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4.4"/>
    <n v="123.1"/>
    <n v="124.6"/>
    <n v="122.5"/>
    <n v="111.4"/>
    <n v="120.3"/>
    <n v="126.6"/>
    <n v="116.6"/>
    <n v="119.1"/>
    <n v="126"/>
    <n v="1678.1"/>
    <n v="386.9"/>
    <n v="256.2"/>
  </r>
  <r>
    <x v="0"/>
    <x v="3"/>
    <x v="2"/>
    <x v="80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m/>
    <n v="124.9"/>
    <n v="127"/>
    <n v="127.7"/>
    <n v="124.8"/>
    <n v="113.6"/>
    <n v="122.5"/>
    <n v="127.5"/>
    <n v="117.4"/>
    <n v="121.1"/>
    <n v="128"/>
    <n v="1682.7000000000003"/>
    <n v="398.40000000000003"/>
    <n v="257.5"/>
  </r>
  <r>
    <x v="1"/>
    <x v="3"/>
    <x v="2"/>
    <x v="52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24.9"/>
    <n v="114.8"/>
    <n v="122.3"/>
    <n v="119.7"/>
    <n v="108.5"/>
    <n v="119.1"/>
    <n v="126.4"/>
    <n v="117.1"/>
    <n v="117.3"/>
    <n v="123.8"/>
    <n v="1667.6000000000001"/>
    <n v="372.2"/>
    <n v="259.7"/>
  </r>
  <r>
    <x v="2"/>
    <x v="3"/>
    <x v="2"/>
    <x v="81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4.9"/>
    <n v="122.4"/>
    <n v="125.1"/>
    <n v="122.9"/>
    <n v="110.9"/>
    <n v="120.6"/>
    <n v="126.9"/>
    <n v="117.3"/>
    <n v="119.3"/>
    <n v="126"/>
    <n v="1675.2"/>
    <n v="387.9"/>
    <n v="257.10000000000002"/>
  </r>
  <r>
    <x v="0"/>
    <x v="3"/>
    <x v="3"/>
    <x v="82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m/>
    <n v="125.6"/>
    <n v="127"/>
    <n v="128"/>
    <n v="125.2"/>
    <n v="114.4"/>
    <n v="123.2"/>
    <n v="127.9"/>
    <n v="118.4"/>
    <n v="121.7"/>
    <n v="129"/>
    <n v="1701.6000000000004"/>
    <n v="400"/>
    <n v="258.7"/>
  </r>
  <r>
    <x v="1"/>
    <x v="3"/>
    <x v="3"/>
    <x v="83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25.6"/>
    <n v="114.6"/>
    <n v="122.8"/>
    <n v="120"/>
    <n v="110"/>
    <n v="119.5"/>
    <n v="127.6"/>
    <n v="117.6"/>
    <n v="118.2"/>
    <n v="125.3"/>
    <n v="1706.3"/>
    <n v="373.1"/>
    <n v="261"/>
  </r>
  <r>
    <x v="2"/>
    <x v="3"/>
    <x v="3"/>
    <x v="84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5.6"/>
    <n v="122.3"/>
    <n v="125.5"/>
    <n v="123.2"/>
    <n v="112.1"/>
    <n v="121.1"/>
    <n v="127.7"/>
    <n v="118.1"/>
    <n v="120"/>
    <n v="127.3"/>
    <n v="1701.3"/>
    <n v="389.20000000000005"/>
    <n v="258.2"/>
  </r>
  <r>
    <x v="0"/>
    <x v="3"/>
    <x v="4"/>
    <x v="85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m/>
    <n v="126"/>
    <n v="127.4"/>
    <n v="128.5"/>
    <n v="125.8"/>
    <n v="115.1"/>
    <n v="123.6"/>
    <n v="129.1"/>
    <n v="119.7"/>
    <n v="122.5"/>
    <n v="130.30000000000001"/>
    <n v="1723.6999999999998"/>
    <n v="401.3"/>
    <n v="259.60000000000002"/>
  </r>
  <r>
    <x v="1"/>
    <x v="3"/>
    <x v="4"/>
    <x v="72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26"/>
    <n v="115"/>
    <n v="123.2"/>
    <n v="120.3"/>
    <n v="110.7"/>
    <n v="119.8"/>
    <n v="128"/>
    <n v="118.5"/>
    <n v="118.7"/>
    <n v="126.6"/>
    <n v="1746.7999999999997"/>
    <n v="374.1"/>
    <n v="262"/>
  </r>
  <r>
    <x v="2"/>
    <x v="3"/>
    <x v="4"/>
    <x v="77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6"/>
    <n v="122.7"/>
    <n v="126"/>
    <n v="123.7"/>
    <n v="112.8"/>
    <n v="121.5"/>
    <n v="128.5"/>
    <n v="119.2"/>
    <n v="120.7"/>
    <n v="128.6"/>
    <n v="1730.4"/>
    <n v="390.4"/>
    <n v="259.2"/>
  </r>
  <r>
    <x v="0"/>
    <x v="3"/>
    <x v="5"/>
    <x v="8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m/>
    <n v="125.5"/>
    <n v="128"/>
    <n v="129.30000000000001"/>
    <n v="126.2"/>
    <n v="116.3"/>
    <n v="124.1"/>
    <n v="130.19999999999999"/>
    <n v="119.9"/>
    <n v="123.3"/>
    <n v="131.9"/>
    <n v="1748.6"/>
    <n v="403.5"/>
    <n v="261.29999999999995"/>
  </r>
  <r>
    <x v="1"/>
    <x v="3"/>
    <x v="5"/>
    <x v="87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25.5"/>
    <n v="115.5"/>
    <n v="123.2"/>
    <n v="120.6"/>
    <n v="112.3"/>
    <n v="119.9"/>
    <n v="129.30000000000001"/>
    <n v="118.8"/>
    <n v="119.6"/>
    <n v="128.1"/>
    <n v="1787.0000000000002"/>
    <n v="375.29999999999995"/>
    <n v="262.60000000000002"/>
  </r>
  <r>
    <x v="2"/>
    <x v="3"/>
    <x v="5"/>
    <x v="88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5.5"/>
    <n v="123.3"/>
    <n v="126.4"/>
    <n v="124.1"/>
    <n v="114.2"/>
    <n v="121.7"/>
    <n v="129.69999999999999"/>
    <n v="119.4"/>
    <n v="121.5"/>
    <n v="130.1"/>
    <n v="1760.6"/>
    <n v="392.1"/>
    <n v="260.39999999999998"/>
  </r>
  <r>
    <x v="0"/>
    <x v="3"/>
    <x v="6"/>
    <x v="89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m/>
    <n v="126.4"/>
    <n v="128.19999999999999"/>
    <n v="130"/>
    <n v="126.7"/>
    <n v="116.4"/>
    <n v="125.2"/>
    <n v="130.80000000000001"/>
    <n v="120.9"/>
    <n v="123.8"/>
    <n v="133"/>
    <n v="1770.2999999999997"/>
    <n v="405.9"/>
    <n v="263.2"/>
  </r>
  <r>
    <x v="1"/>
    <x v="3"/>
    <x v="6"/>
    <x v="77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26.4"/>
    <n v="115.5"/>
    <n v="123.5"/>
    <n v="120.9"/>
    <n v="111.7"/>
    <n v="120.3"/>
    <n v="130.80000000000001"/>
    <n v="120"/>
    <n v="119.9"/>
    <n v="129"/>
    <n v="1811.5000000000002"/>
    <n v="375.9"/>
    <n v="263.2"/>
  </r>
  <r>
    <x v="2"/>
    <x v="3"/>
    <x v="6"/>
    <x v="90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6.4"/>
    <n v="123.4"/>
    <n v="126.9"/>
    <n v="124.5"/>
    <n v="113.9"/>
    <n v="122.4"/>
    <n v="130.80000000000001"/>
    <n v="120.5"/>
    <n v="121.9"/>
    <n v="131.1"/>
    <n v="1783.5"/>
    <n v="393.8"/>
    <n v="261.70000000000005"/>
  </r>
  <r>
    <x v="0"/>
    <x v="3"/>
    <x v="7"/>
    <x v="9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m/>
    <n v="127.3"/>
    <n v="129.1"/>
    <n v="130.6"/>
    <n v="127"/>
    <n v="116"/>
    <n v="125.5"/>
    <n v="131.9"/>
    <n v="122"/>
    <n v="124.2"/>
    <n v="133.5"/>
    <n v="1777.4999999999998"/>
    <n v="407.9"/>
    <n v="264.39999999999998"/>
  </r>
  <r>
    <x v="1"/>
    <x v="3"/>
    <x v="7"/>
    <x v="85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27.3"/>
    <n v="114.7"/>
    <n v="123.9"/>
    <n v="121.2"/>
    <n v="110.4"/>
    <n v="120.6"/>
    <n v="131.5"/>
    <n v="120.9"/>
    <n v="119.9"/>
    <n v="128.4"/>
    <n v="1783.9999999999995"/>
    <n v="377"/>
    <n v="264.2"/>
  </r>
  <r>
    <x v="2"/>
    <x v="3"/>
    <x v="7"/>
    <x v="89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7.3"/>
    <n v="123.6"/>
    <n v="127.4"/>
    <n v="124.8"/>
    <n v="113.1"/>
    <n v="122.7"/>
    <n v="131.69999999999999"/>
    <n v="121.5"/>
    <n v="122.1"/>
    <n v="131.1"/>
    <n v="1777.9"/>
    <n v="395.49999999999994"/>
    <n v="262.89999999999998"/>
  </r>
  <r>
    <x v="0"/>
    <x v="3"/>
    <x v="8"/>
    <x v="92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m/>
    <n v="127.9"/>
    <n v="129.69999999999999"/>
    <n v="131.1"/>
    <n v="127.8"/>
    <n v="117"/>
    <n v="125.7"/>
    <n v="132.19999999999999"/>
    <n v="122.8"/>
    <n v="124.9"/>
    <n v="133.4"/>
    <n v="1770.7"/>
    <n v="409.8"/>
    <n v="265.60000000000002"/>
  </r>
  <r>
    <x v="1"/>
    <x v="3"/>
    <x v="8"/>
    <x v="93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27.9"/>
    <n v="114.8"/>
    <n v="124.3"/>
    <n v="121.4"/>
    <n v="111.8"/>
    <n v="120.8"/>
    <n v="131.6"/>
    <n v="121.2"/>
    <n v="120.5"/>
    <n v="128"/>
    <n v="1756.3999999999996"/>
    <n v="378"/>
    <n v="264.7"/>
  </r>
  <r>
    <x v="2"/>
    <x v="3"/>
    <x v="8"/>
    <x v="94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7.9"/>
    <n v="124.1"/>
    <n v="127.9"/>
    <n v="125.4"/>
    <n v="114.3"/>
    <n v="122.9"/>
    <n v="131.80000000000001"/>
    <n v="122.1"/>
    <n v="122.8"/>
    <n v="130.9"/>
    <n v="1763.6999999999998"/>
    <n v="397"/>
    <n v="263.89999999999998"/>
  </r>
  <r>
    <x v="0"/>
    <x v="3"/>
    <x v="9"/>
    <x v="95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m/>
    <n v="128.69999999999999"/>
    <n v="129.80000000000001"/>
    <n v="131.80000000000001"/>
    <n v="128.69999999999999"/>
    <n v="117.8"/>
    <n v="126.5"/>
    <n v="133"/>
    <n v="123"/>
    <n v="125.7"/>
    <n v="133.80000000000001"/>
    <n v="1771.8000000000002"/>
    <n v="412.7"/>
    <n v="267.39999999999998"/>
  </r>
  <r>
    <x v="1"/>
    <x v="3"/>
    <x v="9"/>
    <x v="96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28.69999999999999"/>
    <n v="115.2"/>
    <n v="124.5"/>
    <n v="121.8"/>
    <n v="112.8"/>
    <n v="121.2"/>
    <n v="131.9"/>
    <n v="120.8"/>
    <n v="120.9"/>
    <n v="128.6"/>
    <n v="1762.8999999999999"/>
    <n v="379"/>
    <n v="265.5"/>
  </r>
  <r>
    <x v="2"/>
    <x v="3"/>
    <x v="9"/>
    <x v="97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8.69999999999999"/>
    <n v="124.3"/>
    <n v="128.4"/>
    <n v="126.1"/>
    <n v="115.2"/>
    <n v="123.5"/>
    <n v="132.4"/>
    <n v="122.1"/>
    <n v="123.4"/>
    <n v="131.4"/>
    <n v="1766.7999999999995"/>
    <n v="399.1"/>
    <n v="265.3"/>
  </r>
  <r>
    <x v="0"/>
    <x v="3"/>
    <x v="11"/>
    <x v="98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m/>
    <n v="129.1"/>
    <n v="130.30000000000001"/>
    <n v="132.1"/>
    <n v="129.1"/>
    <n v="118.2"/>
    <n v="126.9"/>
    <n v="133.69999999999999"/>
    <n v="123.5"/>
    <n v="126.1"/>
    <n v="133.6"/>
    <n v="1764.6"/>
    <n v="413.59999999999997"/>
    <n v="268.10000000000002"/>
  </r>
  <r>
    <x v="1"/>
    <x v="3"/>
    <x v="11"/>
    <x v="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29.1"/>
    <n v="116.2"/>
    <n v="124.7"/>
    <n v="122.1"/>
    <n v="113.4"/>
    <n v="121.7"/>
    <n v="132.1"/>
    <n v="121.3"/>
    <n v="121.3"/>
    <n v="128.5"/>
    <n v="1755.2"/>
    <n v="380.2"/>
    <n v="266"/>
  </r>
  <r>
    <x v="2"/>
    <x v="3"/>
    <x v="11"/>
    <x v="100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9.1"/>
    <n v="125"/>
    <n v="128.6"/>
    <n v="126.4"/>
    <n v="115.7"/>
    <n v="124"/>
    <n v="132.80000000000001"/>
    <n v="122.6"/>
    <n v="123.8"/>
    <n v="131.19999999999999"/>
    <n v="1759.8"/>
    <n v="400.1"/>
    <n v="266"/>
  </r>
  <r>
    <x v="0"/>
    <x v="3"/>
    <x v="12"/>
    <x v="101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m/>
    <n v="128.5"/>
    <n v="132"/>
    <n v="132.9"/>
    <n v="129.69999999999999"/>
    <n v="118.6"/>
    <n v="127.3"/>
    <n v="134.19999999999999"/>
    <n v="121.9"/>
    <n v="126.3"/>
    <n v="132.80000000000001"/>
    <n v="1749.1"/>
    <n v="415.3"/>
    <n v="269.7"/>
  </r>
  <r>
    <x v="1"/>
    <x v="3"/>
    <x v="12"/>
    <x v="102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28.5"/>
    <n v="117.8"/>
    <n v="125"/>
    <n v="122.3"/>
    <n v="113.7"/>
    <n v="121.8"/>
    <n v="132.30000000000001"/>
    <n v="119.9"/>
    <n v="121.4"/>
    <n v="127.6"/>
    <n v="1729.8"/>
    <n v="381"/>
    <n v="266.8"/>
  </r>
  <r>
    <x v="2"/>
    <x v="3"/>
    <x v="12"/>
    <x v="103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8.5"/>
    <n v="126.6"/>
    <n v="129.19999999999999"/>
    <n v="126.9"/>
    <n v="116"/>
    <n v="124.2"/>
    <n v="133.1"/>
    <n v="121.1"/>
    <n v="123.9"/>
    <n v="130.4"/>
    <n v="1740.7"/>
    <n v="401.5"/>
    <n v="267.3"/>
  </r>
  <r>
    <x v="0"/>
    <x v="4"/>
    <x v="0"/>
    <x v="104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m/>
    <n v="129.6"/>
    <n v="132.1"/>
    <n v="133.19999999999999"/>
    <n v="129.9"/>
    <n v="119.1"/>
    <n v="127"/>
    <n v="134.6"/>
    <n v="122.3"/>
    <n v="126.6"/>
    <n v="132.4"/>
    <n v="1737.3000000000002"/>
    <n v="416.5"/>
    <n v="270.10000000000002"/>
  </r>
  <r>
    <x v="1"/>
    <x v="4"/>
    <x v="0"/>
    <x v="105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29.6"/>
    <n v="118"/>
    <n v="125.1"/>
    <n v="122.6"/>
    <n v="115.2"/>
    <n v="122"/>
    <n v="132.4"/>
    <n v="120.9"/>
    <n v="122.1"/>
    <n v="127.8"/>
    <n v="1713.2"/>
    <n v="381.5"/>
    <n v="267.60000000000002"/>
  </r>
  <r>
    <x v="2"/>
    <x v="4"/>
    <x v="0"/>
    <x v="106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9.6"/>
    <n v="126.8"/>
    <n v="129.4"/>
    <n v="127.1"/>
    <n v="117"/>
    <n v="124.2"/>
    <n v="133.30000000000001"/>
    <n v="121.7"/>
    <n v="124.4"/>
    <n v="130.30000000000001"/>
    <n v="1727.2999999999995"/>
    <n v="402.4"/>
    <n v="268"/>
  </r>
  <r>
    <x v="0"/>
    <x v="4"/>
    <x v="1"/>
    <x v="107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m/>
    <n v="130.5"/>
    <n v="133.19999999999999"/>
    <n v="133.6"/>
    <n v="130.1"/>
    <n v="119.5"/>
    <n v="127.7"/>
    <n v="134.9"/>
    <n v="123.2"/>
    <n v="127"/>
    <n v="132.6"/>
    <n v="1734.5000000000002"/>
    <n v="416.90000000000003"/>
    <n v="271.39999999999998"/>
  </r>
  <r>
    <x v="1"/>
    <x v="4"/>
    <x v="1"/>
    <x v="106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30.5"/>
    <n v="119.2"/>
    <n v="125.3"/>
    <n v="122.9"/>
    <n v="115.5"/>
    <n v="122.2"/>
    <n v="132.4"/>
    <n v="121.7"/>
    <n v="122.4"/>
    <n v="128.19999999999999"/>
    <n v="1705.3000000000002"/>
    <n v="382.3"/>
    <n v="268.5"/>
  </r>
  <r>
    <x v="2"/>
    <x v="4"/>
    <x v="1"/>
    <x v="104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30.5"/>
    <n v="127.9"/>
    <n v="129.69999999999999"/>
    <n v="127.4"/>
    <n v="117.4"/>
    <n v="124.6"/>
    <n v="133.4"/>
    <n v="122.6"/>
    <n v="124.8"/>
    <n v="130.6"/>
    <n v="1722.3000000000002"/>
    <n v="403"/>
    <n v="269"/>
  </r>
  <r>
    <x v="0"/>
    <x v="4"/>
    <x v="2"/>
    <x v="108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m/>
    <n v="131.1"/>
    <n v="134.19999999999999"/>
    <n v="134.1"/>
    <n v="130.6"/>
    <n v="119.8"/>
    <n v="128.30000000000001"/>
    <n v="135.19999999999999"/>
    <n v="123.3"/>
    <n v="127.4"/>
    <n v="132.80000000000001"/>
    <n v="1728.5000000000002"/>
    <n v="418.59999999999997"/>
    <n v="272.5"/>
  </r>
  <r>
    <x v="1"/>
    <x v="4"/>
    <x v="2"/>
    <x v="10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31.1"/>
    <n v="120.8"/>
    <n v="125.6"/>
    <n v="123.1"/>
    <n v="115.6"/>
    <n v="122.4"/>
    <n v="132.80000000000001"/>
    <n v="121.7"/>
    <n v="122.6"/>
    <n v="128.69999999999999"/>
    <n v="1705.6999999999998"/>
    <n v="383.20000000000005"/>
    <n v="269.89999999999998"/>
  </r>
  <r>
    <x v="2"/>
    <x v="4"/>
    <x v="2"/>
    <x v="107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31.1"/>
    <n v="129.1"/>
    <n v="130.1"/>
    <n v="127.8"/>
    <n v="117.6"/>
    <n v="125"/>
    <n v="133.80000000000001"/>
    <n v="122.6"/>
    <n v="125.1"/>
    <n v="130.9"/>
    <n v="1718.9"/>
    <n v="404.29999999999995"/>
    <n v="270.10000000000002"/>
  </r>
  <r>
    <x v="0"/>
    <x v="4"/>
    <x v="3"/>
    <x v="110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m/>
    <n v="131.69999999999999"/>
    <n v="135"/>
    <n v="134.30000000000001"/>
    <n v="131"/>
    <n v="119.2"/>
    <n v="128.30000000000001"/>
    <n v="135.69999999999999"/>
    <n v="123.7"/>
    <n v="127.5"/>
    <n v="132.9"/>
    <n v="1726.3"/>
    <n v="420.80000000000007"/>
    <n v="272.70000000000005"/>
  </r>
  <r>
    <x v="1"/>
    <x v="4"/>
    <x v="3"/>
    <x v="10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31.69999999999999"/>
    <n v="121.4"/>
    <n v="126"/>
    <n v="123.4"/>
    <n v="114.3"/>
    <n v="122.6"/>
    <n v="133.6"/>
    <n v="122.2"/>
    <n v="122.5"/>
    <n v="129.1"/>
    <n v="1708.1"/>
    <n v="384.2"/>
    <n v="270.60000000000002"/>
  </r>
  <r>
    <x v="2"/>
    <x v="4"/>
    <x v="3"/>
    <x v="111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31.69999999999999"/>
    <n v="129.80000000000001"/>
    <n v="130.4"/>
    <n v="128.1"/>
    <n v="116.6"/>
    <n v="125.1"/>
    <n v="134.5"/>
    <n v="123.1"/>
    <n v="125.1"/>
    <n v="131.1"/>
    <n v="1718.4"/>
    <n v="406.1"/>
    <n v="270.5"/>
  </r>
  <r>
    <x v="0"/>
    <x v="4"/>
    <x v="4"/>
    <x v="104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m/>
    <n v="132.1"/>
    <n v="135"/>
    <n v="134.9"/>
    <n v="131.4"/>
    <n v="119.4"/>
    <n v="129.4"/>
    <n v="136.30000000000001"/>
    <n v="123.7"/>
    <n v="127.9"/>
    <n v="133.30000000000001"/>
    <n v="1727.4999999999995"/>
    <n v="421.6"/>
    <n v="274.89999999999998"/>
  </r>
  <r>
    <x v="1"/>
    <x v="4"/>
    <x v="4"/>
    <x v="101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32.1"/>
    <n v="120.1"/>
    <n v="126.5"/>
    <n v="123.6"/>
    <n v="114.3"/>
    <n v="122.8"/>
    <n v="133.80000000000001"/>
    <n v="122"/>
    <n v="122.6"/>
    <n v="129.30000000000001"/>
    <n v="1709.6"/>
    <n v="384.9"/>
    <n v="271.10000000000002"/>
  </r>
  <r>
    <x v="2"/>
    <x v="4"/>
    <x v="4"/>
    <x v="112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32.1"/>
    <n v="129.4"/>
    <n v="130.9"/>
    <n v="128.4"/>
    <n v="116.7"/>
    <n v="125.7"/>
    <n v="134.80000000000001"/>
    <n v="123"/>
    <n v="125.3"/>
    <n v="131.4"/>
    <n v="1719.6000000000001"/>
    <n v="406.8"/>
    <n v="271.89999999999998"/>
  </r>
  <r>
    <x v="0"/>
    <x v="4"/>
    <x v="5"/>
    <x v="113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m/>
    <n v="131.4"/>
    <n v="134.80000000000001"/>
    <n v="135.19999999999999"/>
    <n v="131.30000000000001"/>
    <n v="119.4"/>
    <n v="129.80000000000001"/>
    <n v="136.9"/>
    <n v="124.1"/>
    <n v="128.1"/>
    <n v="133.9"/>
    <n v="1738.8000000000002"/>
    <n v="423.09999999999997"/>
    <n v="275.60000000000002"/>
  </r>
  <r>
    <x v="1"/>
    <x v="4"/>
    <x v="5"/>
    <x v="112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31.4"/>
    <n v="119"/>
    <n v="126.8"/>
    <n v="123.8"/>
    <n v="113.9"/>
    <n v="122.9"/>
    <n v="134.30000000000001"/>
    <n v="122.5"/>
    <n v="122.7"/>
    <n v="129.9"/>
    <n v="1731.0000000000002"/>
    <n v="384.9"/>
    <n v="271.5"/>
  </r>
  <r>
    <x v="2"/>
    <x v="4"/>
    <x v="5"/>
    <x v="107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31.4"/>
    <n v="128.80000000000001"/>
    <n v="131.19999999999999"/>
    <n v="128.5"/>
    <n v="116.5"/>
    <n v="125.9"/>
    <n v="135.4"/>
    <n v="123.4"/>
    <n v="125.5"/>
    <n v="132"/>
    <n v="1734.7"/>
    <n v="407.7"/>
    <n v="272.39999999999998"/>
  </r>
  <r>
    <x v="0"/>
    <x v="4"/>
    <x v="6"/>
    <x v="11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m/>
    <n v="132.6"/>
    <n v="135.30000000000001"/>
    <n v="136.1"/>
    <n v="132.1"/>
    <n v="119.1"/>
    <n v="130.6"/>
    <n v="138.6"/>
    <n v="124.4"/>
    <n v="128.6"/>
    <n v="136.19999999999999"/>
    <n v="1772.9"/>
    <n v="425.9"/>
    <n v="278"/>
  </r>
  <r>
    <x v="1"/>
    <x v="4"/>
    <x v="6"/>
    <x v="106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32.6"/>
    <n v="119.7"/>
    <n v="127.2"/>
    <n v="125"/>
    <n v="113.2"/>
    <n v="123.5"/>
    <n v="135.5"/>
    <n v="122.4"/>
    <n v="123"/>
    <n v="131.80000000000001"/>
    <n v="1768.1"/>
    <n v="385.70000000000005"/>
    <n v="274"/>
  </r>
  <r>
    <x v="2"/>
    <x v="4"/>
    <x v="6"/>
    <x v="108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32.6"/>
    <n v="129.4"/>
    <n v="131.9"/>
    <n v="129.4"/>
    <n v="116"/>
    <n v="126.6"/>
    <n v="136.80000000000001"/>
    <n v="123.6"/>
    <n v="125.9"/>
    <n v="134.19999999999999"/>
    <n v="1769.3999999999999"/>
    <n v="409.7"/>
    <n v="274.79999999999995"/>
  </r>
  <r>
    <x v="0"/>
    <x v="4"/>
    <x v="7"/>
    <x v="115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m/>
    <n v="134.4"/>
    <n v="136.4"/>
    <n v="137.30000000000001"/>
    <n v="133"/>
    <n v="120.3"/>
    <n v="131.5"/>
    <n v="140.19999999999999"/>
    <n v="125.4"/>
    <n v="129.69999999999999"/>
    <n v="137.80000000000001"/>
    <n v="1792.4999999999998"/>
    <n v="429"/>
    <n v="280.5"/>
  </r>
  <r>
    <x v="1"/>
    <x v="4"/>
    <x v="7"/>
    <x v="110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34.4"/>
    <n v="118.9"/>
    <n v="127.7"/>
    <n v="125.7"/>
    <n v="114.6"/>
    <n v="124.1"/>
    <n v="135.69999999999999"/>
    <n v="123.3"/>
    <n v="123.8"/>
    <n v="132.69999999999999"/>
    <n v="1772.9999999999998"/>
    <n v="388.4"/>
    <n v="276.2"/>
  </r>
  <r>
    <x v="2"/>
    <x v="4"/>
    <x v="7"/>
    <x v="116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34.4"/>
    <n v="129.80000000000001"/>
    <n v="132.80000000000001"/>
    <n v="130.19999999999999"/>
    <n v="117.3"/>
    <n v="127.3"/>
    <n v="137.6"/>
    <n v="124.5"/>
    <n v="126.8"/>
    <n v="135.4"/>
    <n v="1783.8"/>
    <n v="412.6"/>
    <n v="277.10000000000002"/>
  </r>
  <r>
    <x v="0"/>
    <x v="4"/>
    <x v="8"/>
    <x v="117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m/>
    <n v="135.69999999999999"/>
    <n v="137.4"/>
    <n v="137.9"/>
    <n v="133.4"/>
    <n v="121.2"/>
    <n v="132.30000000000001"/>
    <n v="139.6"/>
    <n v="126.7"/>
    <n v="130.30000000000001"/>
    <n v="137.6"/>
    <n v="1784.3"/>
    <n v="430.99999999999994"/>
    <n v="282.10000000000002"/>
  </r>
  <r>
    <x v="1"/>
    <x v="4"/>
    <x v="8"/>
    <x v="108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35.69999999999999"/>
    <n v="120.6"/>
    <n v="128.1"/>
    <n v="126.1"/>
    <n v="115.7"/>
    <n v="124.5"/>
    <n v="135.9"/>
    <n v="124.4"/>
    <n v="124.5"/>
    <n v="132.4"/>
    <n v="1749.7"/>
    <n v="389.9"/>
    <n v="278.10000000000002"/>
  </r>
  <r>
    <x v="2"/>
    <x v="4"/>
    <x v="8"/>
    <x v="118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5.69999999999999"/>
    <n v="131"/>
    <n v="133.30000000000001"/>
    <n v="130.6"/>
    <n v="118.3"/>
    <n v="127.9"/>
    <n v="137.4"/>
    <n v="125.7"/>
    <n v="127.5"/>
    <n v="135.19999999999999"/>
    <n v="1769.9999999999998"/>
    <n v="414.5"/>
    <n v="278.70000000000005"/>
  </r>
  <r>
    <x v="0"/>
    <x v="4"/>
    <x v="9"/>
    <x v="11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m/>
    <n v="137.30000000000001"/>
    <n v="138.1"/>
    <n v="138.4"/>
    <n v="134.19999999999999"/>
    <n v="121"/>
    <n v="133"/>
    <n v="140.1"/>
    <n v="127.4"/>
    <n v="130.69999999999999"/>
    <n v="138.30000000000001"/>
    <n v="1790.8999999999999"/>
    <n v="433.99999999999994"/>
    <n v="283.5"/>
  </r>
  <r>
    <x v="1"/>
    <x v="4"/>
    <x v="9"/>
    <x v="120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37.30000000000001"/>
    <n v="122.6"/>
    <n v="128.30000000000001"/>
    <n v="126.6"/>
    <n v="115"/>
    <n v="124.8"/>
    <n v="136.30000000000001"/>
    <n v="124.6"/>
    <n v="124.5"/>
    <n v="133.5"/>
    <n v="1765.6999999999998"/>
    <n v="391.5"/>
    <n v="279.39999999999998"/>
  </r>
  <r>
    <x v="2"/>
    <x v="4"/>
    <x v="9"/>
    <x v="12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7.30000000000001"/>
    <n v="132.19999999999999"/>
    <n v="133.6"/>
    <n v="131.30000000000001"/>
    <n v="117.8"/>
    <n v="128.4"/>
    <n v="137.9"/>
    <n v="126.2"/>
    <n v="127.7"/>
    <n v="136.1"/>
    <n v="1779.6999999999998"/>
    <n v="416.90000000000003"/>
    <n v="280"/>
  </r>
  <r>
    <x v="0"/>
    <x v="4"/>
    <x v="11"/>
    <x v="122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m/>
    <n v="138.6"/>
    <n v="141.1"/>
    <n v="139.4"/>
    <n v="135.80000000000001"/>
    <n v="121.6"/>
    <n v="133.69999999999999"/>
    <n v="141.5"/>
    <n v="128.1"/>
    <n v="131.69999999999999"/>
    <n v="140"/>
    <n v="1817.7000000000003"/>
    <n v="437"/>
    <n v="285.79999999999995"/>
  </r>
  <r>
    <x v="1"/>
    <x v="4"/>
    <x v="11"/>
    <x v="116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38.6"/>
    <n v="125.7"/>
    <n v="128.80000000000001"/>
    <n v="127.4"/>
    <n v="115.3"/>
    <n v="125.1"/>
    <n v="136.6"/>
    <n v="124.9"/>
    <n v="124.9"/>
    <n v="134.80000000000001"/>
    <n v="1796.7"/>
    <n v="393.9"/>
    <n v="281.29999999999995"/>
  </r>
  <r>
    <x v="2"/>
    <x v="4"/>
    <x v="11"/>
    <x v="123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8.6"/>
    <n v="135.30000000000001"/>
    <n v="134.4"/>
    <n v="132.6"/>
    <n v="118.3"/>
    <n v="128.9"/>
    <n v="138.6"/>
    <n v="126.8"/>
    <n v="128.4"/>
    <n v="137.6"/>
    <n v="1808.2"/>
    <n v="419.6"/>
    <n v="282.10000000000002"/>
  </r>
  <r>
    <x v="0"/>
    <x v="4"/>
    <x v="12"/>
    <x v="12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m/>
    <n v="139.1"/>
    <n v="142.6"/>
    <n v="139.5"/>
    <n v="136.1"/>
    <n v="122"/>
    <n v="133.4"/>
    <n v="141.1"/>
    <n v="127.8"/>
    <n v="131.9"/>
    <n v="139.80000000000001"/>
    <n v="1813.6000000000001"/>
    <n v="437.09999999999997"/>
    <n v="286.60000000000002"/>
  </r>
  <r>
    <x v="1"/>
    <x v="4"/>
    <x v="12"/>
    <x v="125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39.1"/>
    <n v="126.8"/>
    <n v="129.30000000000001"/>
    <n v="128.19999999999999"/>
    <n v="115.3"/>
    <n v="125.6"/>
    <n v="136.69999999999999"/>
    <n v="124.6"/>
    <n v="125.1"/>
    <n v="134.1"/>
    <n v="1767.5"/>
    <n v="395.2"/>
    <n v="282.60000000000002"/>
  </r>
  <r>
    <x v="2"/>
    <x v="4"/>
    <x v="12"/>
    <x v="126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9.1"/>
    <n v="136.6"/>
    <n v="134.69999999999999"/>
    <n v="133.1"/>
    <n v="118.5"/>
    <n v="129"/>
    <n v="138.5"/>
    <n v="126.5"/>
    <n v="128.6"/>
    <n v="137.19999999999999"/>
    <n v="1794.9999999999998"/>
    <n v="420.2"/>
    <n v="283.2"/>
  </r>
  <r>
    <x v="0"/>
    <x v="5"/>
    <x v="0"/>
    <x v="127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m/>
    <n v="140.4"/>
    <n v="142.30000000000001"/>
    <n v="139.80000000000001"/>
    <n v="136"/>
    <n v="122.7"/>
    <n v="134.30000000000001"/>
    <n v="141.6"/>
    <n v="128.6"/>
    <n v="132.30000000000001"/>
    <n v="139.30000000000001"/>
    <n v="1800.7"/>
    <n v="438.1"/>
    <n v="287.89999999999998"/>
  </r>
  <r>
    <x v="1"/>
    <x v="5"/>
    <x v="0"/>
    <x v="128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40.4"/>
    <n v="127.3"/>
    <n v="129.5"/>
    <n v="129"/>
    <n v="116.3"/>
    <n v="126.2"/>
    <n v="137.1"/>
    <n v="125.5"/>
    <n v="125.8"/>
    <n v="134.1"/>
    <n v="1748.3000000000002"/>
    <n v="396.29999999999995"/>
    <n v="283.89999999999998"/>
  </r>
  <r>
    <x v="2"/>
    <x v="5"/>
    <x v="0"/>
    <x v="129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40.4"/>
    <n v="136.6"/>
    <n v="134.9"/>
    <n v="133.30000000000001"/>
    <n v="119.3"/>
    <n v="129.69999999999999"/>
    <n v="139"/>
    <n v="127.3"/>
    <n v="129.1"/>
    <n v="136.9"/>
    <n v="1779.9"/>
    <n v="421.3"/>
    <n v="284.39999999999998"/>
  </r>
  <r>
    <x v="0"/>
    <x v="5"/>
    <x v="1"/>
    <x v="12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m/>
    <n v="141.30000000000001"/>
    <n v="142.4"/>
    <n v="139.9"/>
    <n v="136.19999999999999"/>
    <n v="123.3"/>
    <n v="134.30000000000001"/>
    <n v="141.5"/>
    <n v="128.80000000000001"/>
    <n v="132.5"/>
    <n v="138.5"/>
    <n v="1781.5"/>
    <n v="438.90000000000003"/>
    <n v="287.60000000000002"/>
  </r>
  <r>
    <x v="1"/>
    <x v="5"/>
    <x v="1"/>
    <x v="115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41.30000000000001"/>
    <n v="127.3"/>
    <n v="129.9"/>
    <n v="129.80000000000001"/>
    <n v="117.4"/>
    <n v="126.5"/>
    <n v="137.19999999999999"/>
    <n v="126.2"/>
    <n v="126.5"/>
    <n v="134"/>
    <n v="1727.9"/>
    <n v="397.09999999999997"/>
    <n v="285.8"/>
  </r>
  <r>
    <x v="2"/>
    <x v="5"/>
    <x v="1"/>
    <x v="11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41.30000000000001"/>
    <n v="136.69999999999999"/>
    <n v="135.19999999999999"/>
    <n v="133.80000000000001"/>
    <n v="120.2"/>
    <n v="129.9"/>
    <n v="139"/>
    <n v="127.7"/>
    <n v="129.6"/>
    <n v="136.4"/>
    <n v="1760.3999999999996"/>
    <n v="422"/>
    <n v="284.8"/>
  </r>
  <r>
    <x v="0"/>
    <x v="5"/>
    <x v="2"/>
    <x v="130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m/>
    <n v="142"/>
    <n v="142.6"/>
    <n v="139.9"/>
    <n v="136.69999999999999"/>
    <n v="124.6"/>
    <n v="135.1"/>
    <n v="142.69999999999999"/>
    <n v="129.30000000000001"/>
    <n v="133.30000000000001"/>
    <n v="138.69999999999999"/>
    <n v="1781.9999999999998"/>
    <n v="440.5"/>
    <n v="290.2"/>
  </r>
  <r>
    <x v="1"/>
    <x v="5"/>
    <x v="2"/>
    <x v="131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42"/>
    <n v="126.4"/>
    <n v="130.80000000000001"/>
    <n v="130.5"/>
    <n v="117.8"/>
    <n v="126.8"/>
    <n v="137.80000000000001"/>
    <n v="126.7"/>
    <n v="127.1"/>
    <n v="134"/>
    <n v="1715.5"/>
    <n v="398.59999999999997"/>
    <n v="286.5"/>
  </r>
  <r>
    <x v="2"/>
    <x v="5"/>
    <x v="2"/>
    <x v="132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42"/>
    <n v="136.5"/>
    <n v="135.6"/>
    <n v="134.30000000000001"/>
    <n v="121"/>
    <n v="130.4"/>
    <n v="139.80000000000001"/>
    <n v="128.19999999999999"/>
    <n v="130.30000000000001"/>
    <n v="136.5"/>
    <n v="1756"/>
    <n v="423.6"/>
    <n v="286.70000000000005"/>
  </r>
  <r>
    <x v="0"/>
    <x v="5"/>
    <x v="3"/>
    <x v="133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m/>
    <n v="142.9"/>
    <n v="143.80000000000001"/>
    <n v="140.9"/>
    <n v="137.6"/>
    <n v="125.3"/>
    <n v="136"/>
    <n v="143.69999999999999"/>
    <n v="130.4"/>
    <n v="134.19999999999999"/>
    <n v="139.1"/>
    <n v="1780"/>
    <n v="442.5"/>
    <n v="292.10000000000002"/>
  </r>
  <r>
    <x v="1"/>
    <x v="5"/>
    <x v="3"/>
    <x v="131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42.9"/>
    <n v="124.6"/>
    <n v="131.80000000000001"/>
    <n v="131.30000000000001"/>
    <n v="118.9"/>
    <n v="127.6"/>
    <n v="139.69999999999999"/>
    <n v="127.6"/>
    <n v="128.19999999999999"/>
    <n v="134.80000000000001"/>
    <n v="1720.0000000000002"/>
    <n v="401.40000000000003"/>
    <n v="286.79999999999995"/>
  </r>
  <r>
    <x v="2"/>
    <x v="5"/>
    <x v="3"/>
    <x v="12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42.9"/>
    <n v="136.5"/>
    <n v="136.6"/>
    <n v="135.19999999999999"/>
    <n v="121.9"/>
    <n v="131.30000000000001"/>
    <n v="141.4"/>
    <n v="129.19999999999999"/>
    <n v="131.30000000000001"/>
    <n v="137.1"/>
    <n v="1757.1000000000001"/>
    <n v="426"/>
    <n v="288.20000000000005"/>
  </r>
  <r>
    <x v="0"/>
    <x v="5"/>
    <x v="4"/>
    <x v="13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m/>
    <n v="143.19999999999999"/>
    <n v="144.30000000000001"/>
    <n v="141.80000000000001"/>
    <n v="138.4"/>
    <n v="126.4"/>
    <n v="136.80000000000001"/>
    <n v="144.4"/>
    <n v="131.19999999999999"/>
    <n v="135.1"/>
    <n v="139.80000000000001"/>
    <n v="1782.4"/>
    <n v="444.7"/>
    <n v="293.8"/>
  </r>
  <r>
    <x v="1"/>
    <x v="5"/>
    <x v="4"/>
    <x v="131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43.19999999999999"/>
    <n v="124.7"/>
    <n v="132.5"/>
    <n v="132"/>
    <n v="119.8"/>
    <n v="128"/>
    <n v="140.4"/>
    <n v="128.1"/>
    <n v="128.9"/>
    <n v="135.4"/>
    <n v="1722.8999999999999"/>
    <n v="403.5"/>
    <n v="288.3"/>
  </r>
  <r>
    <x v="2"/>
    <x v="5"/>
    <x v="4"/>
    <x v="127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43.19999999999999"/>
    <n v="136.9"/>
    <n v="137.4"/>
    <n v="136"/>
    <n v="122.9"/>
    <n v="131.80000000000001"/>
    <n v="142.1"/>
    <n v="129.9"/>
    <n v="132.1"/>
    <n v="137.80000000000001"/>
    <n v="1759.8"/>
    <n v="428.09999999999997"/>
    <n v="289.70000000000005"/>
  </r>
  <r>
    <x v="0"/>
    <x v="5"/>
    <x v="5"/>
    <x v="135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m/>
    <n v="142.5"/>
    <n v="145.1"/>
    <n v="142.19999999999999"/>
    <n v="138.4"/>
    <n v="127.4"/>
    <n v="137.80000000000001"/>
    <n v="145.1"/>
    <n v="131.4"/>
    <n v="135.6"/>
    <n v="140.5"/>
    <n v="1790.2999999999997"/>
    <n v="446.3"/>
    <n v="295.10000000000002"/>
  </r>
  <r>
    <x v="1"/>
    <x v="5"/>
    <x v="5"/>
    <x v="12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42.5"/>
    <n v="126.5"/>
    <n v="133.1"/>
    <n v="132.6"/>
    <n v="120.4"/>
    <n v="128.5"/>
    <n v="141.19999999999999"/>
    <n v="128.19999999999999"/>
    <n v="129.5"/>
    <n v="136.19999999999999"/>
    <n v="1747.3000000000002"/>
    <n v="405"/>
    <n v="289.5"/>
  </r>
  <r>
    <x v="2"/>
    <x v="5"/>
    <x v="5"/>
    <x v="136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42.5"/>
    <n v="138.1"/>
    <n v="137.9"/>
    <n v="136.19999999999999"/>
    <n v="123.7"/>
    <n v="132.6"/>
    <n v="142.80000000000001"/>
    <n v="130.1"/>
    <n v="132.6"/>
    <n v="138.5"/>
    <n v="1774.1000000000001"/>
    <n v="429.7"/>
    <n v="290.89999999999998"/>
  </r>
  <r>
    <x v="0"/>
    <x v="5"/>
    <x v="6"/>
    <x v="137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m/>
    <n v="143.6"/>
    <n v="146.80000000000001"/>
    <n v="143.1"/>
    <n v="139"/>
    <n v="127.5"/>
    <n v="138.4"/>
    <n v="145.80000000000001"/>
    <n v="131.4"/>
    <n v="136"/>
    <n v="141.80000000000001"/>
    <n v="1810.5000000000002"/>
    <n v="447.20000000000005"/>
    <n v="294.5"/>
  </r>
  <r>
    <x v="1"/>
    <x v="5"/>
    <x v="6"/>
    <x v="138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43.6"/>
    <n v="128.1"/>
    <n v="133.6"/>
    <n v="133.6"/>
    <n v="120.1"/>
    <n v="129"/>
    <n v="144"/>
    <n v="128.19999999999999"/>
    <n v="130.19999999999999"/>
    <n v="137.5"/>
    <n v="1771.1"/>
    <n v="406.4"/>
    <n v="290.39999999999998"/>
  </r>
  <r>
    <x v="2"/>
    <x v="5"/>
    <x v="6"/>
    <x v="139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43.6"/>
    <n v="139.69999999999999"/>
    <n v="138.6"/>
    <n v="137"/>
    <n v="123.6"/>
    <n v="133.1"/>
    <n v="144.69999999999999"/>
    <n v="130.1"/>
    <n v="133.19999999999999"/>
    <n v="139.80000000000001"/>
    <n v="1795.3"/>
    <n v="430.80000000000007"/>
    <n v="290.60000000000002"/>
  </r>
  <r>
    <x v="0"/>
    <x v="5"/>
    <x v="7"/>
    <x v="140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m/>
    <n v="144.6"/>
    <n v="147.69999999999999"/>
    <n v="143.80000000000001"/>
    <n v="139.4"/>
    <n v="128.30000000000001"/>
    <n v="138.6"/>
    <n v="146.9"/>
    <n v="131.30000000000001"/>
    <n v="136.6"/>
    <n v="142.5"/>
    <n v="1818.8"/>
    <n v="449.2"/>
    <n v="295"/>
  </r>
  <r>
    <x v="1"/>
    <x v="5"/>
    <x v="7"/>
    <x v="141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44.6"/>
    <n v="129.80000000000001"/>
    <n v="134.4"/>
    <n v="134.9"/>
    <n v="120.7"/>
    <n v="129.80000000000001"/>
    <n v="145.30000000000001"/>
    <n v="128.30000000000001"/>
    <n v="131"/>
    <n v="138"/>
    <n v="1767.6"/>
    <n v="407.3"/>
    <n v="291.89999999999998"/>
  </r>
  <r>
    <x v="2"/>
    <x v="5"/>
    <x v="7"/>
    <x v="142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4.6"/>
    <n v="140.9"/>
    <n v="139.4"/>
    <n v="137.69999999999999"/>
    <n v="124.3"/>
    <n v="133.6"/>
    <n v="146"/>
    <n v="130.1"/>
    <n v="133.9"/>
    <n v="140.4"/>
    <n v="1798.7000000000003"/>
    <n v="432.20000000000005"/>
    <n v="291.5"/>
  </r>
  <r>
    <x v="0"/>
    <x v="5"/>
    <x v="8"/>
    <x v="143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m/>
    <n v="145.30000000000001"/>
    <n v="149"/>
    <n v="144"/>
    <n v="140"/>
    <n v="129.9"/>
    <n v="140"/>
    <n v="147.6"/>
    <n v="132"/>
    <n v="137.4"/>
    <n v="142.1"/>
    <n v="1799.8000000000002"/>
    <n v="449.5"/>
    <n v="297.7"/>
  </r>
  <r>
    <x v="1"/>
    <x v="5"/>
    <x v="8"/>
    <x v="144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748.4"/>
    <n v="409.20000000000005"/>
    <n v="293.5"/>
  </r>
  <r>
    <x v="2"/>
    <x v="5"/>
    <x v="8"/>
    <x v="145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779.5"/>
    <n v="433.29999999999995"/>
    <n v="293.7"/>
  </r>
  <r>
    <x v="0"/>
    <x v="5"/>
    <x v="9"/>
    <x v="146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m/>
    <n v="146.30000000000001"/>
    <n v="149.69999999999999"/>
    <n v="147.5"/>
    <n v="144.80000000000001"/>
    <n v="130.80000000000001"/>
    <n v="140.1"/>
    <n v="148"/>
    <n v="134.4"/>
    <n v="139.80000000000001"/>
    <n v="142.19999999999999"/>
    <n v="1782.2"/>
    <n v="445"/>
    <n v="299.7"/>
  </r>
  <r>
    <x v="1"/>
    <x v="5"/>
    <x v="9"/>
    <x v="135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46.30000000000001"/>
    <n v="133.4"/>
    <n v="135.1"/>
    <n v="136.19999999999999"/>
    <n v="123.3"/>
    <n v="130.69999999999999"/>
    <n v="145.5"/>
    <n v="130.4"/>
    <n v="132.5"/>
    <n v="138.9"/>
    <n v="1754.1"/>
    <n v="411"/>
    <n v="294.7"/>
  </r>
  <r>
    <x v="2"/>
    <x v="5"/>
    <x v="9"/>
    <x v="13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6.9"/>
    <n v="145.30000000000001"/>
    <n v="142.19999999999999"/>
    <n v="142.1"/>
    <n v="125.5"/>
    <n v="136.5"/>
    <n v="147.80000000000001"/>
    <n v="132"/>
    <n v="136.30000000000001"/>
    <n v="140.80000000000001"/>
    <n v="1776.2"/>
    <n v="434"/>
    <n v="299.10000000000002"/>
  </r>
  <r>
    <x v="0"/>
    <x v="5"/>
    <x v="11"/>
    <x v="133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m/>
    <n v="146.9"/>
    <n v="150.30000000000001"/>
    <n v="148"/>
    <n v="145.4"/>
    <n v="130.30000000000001"/>
    <n v="143.1"/>
    <n v="150.19999999999999"/>
    <n v="133.1"/>
    <n v="140.1"/>
    <n v="142.4"/>
    <n v="1787.4999999999995"/>
    <n v="448"/>
    <n v="305"/>
  </r>
  <r>
    <x v="1"/>
    <x v="5"/>
    <x v="11"/>
    <x v="147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46.9"/>
    <n v="136.69999999999999"/>
    <n v="135.80000000000001"/>
    <n v="136.80000000000001"/>
    <n v="121.2"/>
    <n v="131.30000000000001"/>
    <n v="146.1"/>
    <n v="130.5"/>
    <n v="132.19999999999999"/>
    <n v="139"/>
    <n v="1757.4999999999998"/>
    <n v="413.1"/>
    <n v="295.70000000000005"/>
  </r>
  <r>
    <x v="2"/>
    <x v="5"/>
    <x v="11"/>
    <x v="13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6.9"/>
    <n v="145.1"/>
    <n v="142.19999999999999"/>
    <n v="142.1"/>
    <n v="125.5"/>
    <n v="136.5"/>
    <n v="147.80000000000001"/>
    <n v="132"/>
    <n v="136.30000000000001"/>
    <n v="140.80000000000001"/>
    <n v="1775.7000000000003"/>
    <n v="433.8"/>
    <n v="299.10000000000002"/>
  </r>
  <r>
    <x v="0"/>
    <x v="5"/>
    <x v="12"/>
    <x v="133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m/>
    <n v="146.5"/>
    <n v="149"/>
    <n v="149.5"/>
    <n v="149.6"/>
    <n v="128.9"/>
    <n v="143.30000000000001"/>
    <n v="155.1"/>
    <n v="133.19999999999999"/>
    <n v="141.6"/>
    <n v="141.9"/>
    <n v="1773.1000000000001"/>
    <n v="448.3"/>
    <n v="305.70000000000005"/>
  </r>
  <r>
    <x v="1"/>
    <x v="5"/>
    <x v="12"/>
    <x v="148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46.5"/>
    <n v="132.4"/>
    <n v="136.19999999999999"/>
    <n v="137.30000000000001"/>
    <n v="118.8"/>
    <n v="131.69999999999999"/>
    <n v="146.5"/>
    <n v="130.80000000000001"/>
    <n v="131.69999999999999"/>
    <n v="138"/>
    <n v="1746.6"/>
    <n v="413.8"/>
    <n v="296.29999999999995"/>
  </r>
  <r>
    <x v="2"/>
    <x v="5"/>
    <x v="12"/>
    <x v="139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6.5"/>
    <n v="142.69999999999999"/>
    <n v="143.19999999999999"/>
    <n v="144.9"/>
    <n v="123.6"/>
    <n v="136.80000000000001"/>
    <n v="150.1"/>
    <n v="132.19999999999999"/>
    <n v="136.80000000000001"/>
    <n v="140.1"/>
    <n v="1762.7999999999997"/>
    <n v="434.3"/>
    <n v="299.8"/>
  </r>
  <r>
    <x v="0"/>
    <x v="6"/>
    <x v="0"/>
    <x v="127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m/>
    <n v="147.69999999999999"/>
    <n v="146.19999999999999"/>
    <n v="150.1"/>
    <n v="149.6"/>
    <n v="128.6"/>
    <n v="142.9"/>
    <n v="155.19999999999999"/>
    <n v="133.5"/>
    <n v="141.69999999999999"/>
    <n v="141"/>
    <n v="1759.6000000000001"/>
    <n v="445.6"/>
    <n v="305.60000000000002"/>
  </r>
  <r>
    <x v="1"/>
    <x v="6"/>
    <x v="0"/>
    <x v="142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47.69999999999999"/>
    <n v="128.6"/>
    <n v="136.30000000000001"/>
    <n v="137.80000000000001"/>
    <n v="118.6"/>
    <n v="131.9"/>
    <n v="146.6"/>
    <n v="131.69999999999999"/>
    <n v="131.80000000000001"/>
    <n v="138"/>
    <n v="1744.3000000000002"/>
    <n v="414.5"/>
    <n v="296.60000000000002"/>
  </r>
  <r>
    <x v="2"/>
    <x v="6"/>
    <x v="0"/>
    <x v="133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47.69999999999999"/>
    <n v="139.5"/>
    <n v="143.6"/>
    <n v="145.1"/>
    <n v="123.3"/>
    <n v="136.69999999999999"/>
    <n v="150.19999999999999"/>
    <n v="132.80000000000001"/>
    <n v="136.9"/>
    <n v="139.6"/>
    <n v="1753.3999999999999"/>
    <n v="433"/>
    <n v="299.89999999999998"/>
  </r>
  <r>
    <x v="0"/>
    <x v="6"/>
    <x v="1"/>
    <x v="130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m/>
    <n v="148.5"/>
    <n v="145.30000000000001"/>
    <n v="150.1"/>
    <n v="149.9"/>
    <n v="129.19999999999999"/>
    <n v="143.4"/>
    <n v="155.5"/>
    <n v="134.9"/>
    <n v="142.19999999999999"/>
    <n v="141"/>
    <n v="1759.8000000000002"/>
    <n v="446.5"/>
    <n v="306.20000000000005"/>
  </r>
  <r>
    <x v="1"/>
    <x v="6"/>
    <x v="1"/>
    <x v="143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48.5"/>
    <n v="127.1"/>
    <n v="136.6"/>
    <n v="138.5"/>
    <n v="119.2"/>
    <n v="132.19999999999999"/>
    <n v="146.6"/>
    <n v="133"/>
    <n v="132.4"/>
    <n v="138.6"/>
    <n v="1754.4"/>
    <n v="415.5"/>
    <n v="297.10000000000002"/>
  </r>
  <r>
    <x v="2"/>
    <x v="6"/>
    <x v="1"/>
    <x v="135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48.5"/>
    <n v="138.4"/>
    <n v="143.69999999999999"/>
    <n v="145.6"/>
    <n v="123.9"/>
    <n v="137.1"/>
    <n v="150.30000000000001"/>
    <n v="134.1"/>
    <n v="137.4"/>
    <n v="139.9"/>
    <n v="1757.1"/>
    <n v="433.9"/>
    <n v="300.5"/>
  </r>
  <r>
    <x v="0"/>
    <x v="6"/>
    <x v="2"/>
    <x v="136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m/>
    <n v="149"/>
    <n v="146.4"/>
    <n v="150"/>
    <n v="150.4"/>
    <n v="129.9"/>
    <n v="143.80000000000001"/>
    <n v="155.5"/>
    <n v="134"/>
    <n v="142.4"/>
    <n v="141.19999999999999"/>
    <n v="1761.2000000000003"/>
    <n v="447"/>
    <n v="306.70000000000005"/>
  </r>
  <r>
    <x v="1"/>
    <x v="6"/>
    <x v="2"/>
    <x v="14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49"/>
    <n v="128.80000000000001"/>
    <n v="136.80000000000001"/>
    <n v="139.19999999999999"/>
    <n v="119.9"/>
    <n v="133"/>
    <n v="146.69999999999999"/>
    <n v="132.5"/>
    <n v="132.80000000000001"/>
    <n v="139.5"/>
    <n v="1768.4"/>
    <n v="416.29999999999995"/>
    <n v="298.3"/>
  </r>
  <r>
    <x v="2"/>
    <x v="6"/>
    <x v="2"/>
    <x v="150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762.9"/>
    <n v="434.5"/>
    <n v="301.2"/>
  </r>
  <r>
    <x v="0"/>
    <x v="6"/>
    <x v="4"/>
    <x v="13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m/>
    <n v="150.1"/>
    <n v="146.9"/>
    <n v="149.5"/>
    <n v="151.30000000000001"/>
    <n v="130.19999999999999"/>
    <n v="145.9"/>
    <n v="156.69999999999999"/>
    <n v="133.9"/>
    <n v="142.9"/>
    <n v="142.4"/>
    <n v="1782.1000000000001"/>
    <n v="448.59999999999997"/>
    <n v="309.20000000000005"/>
  </r>
  <r>
    <x v="1"/>
    <x v="6"/>
    <x v="4"/>
    <x v="151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50.1"/>
    <n v="129.4"/>
    <n v="137.19999999999999"/>
    <n v="139.80000000000001"/>
    <n v="120.1"/>
    <n v="134"/>
    <n v="148"/>
    <n v="132.6"/>
    <n v="133.30000000000001"/>
    <n v="141.5"/>
    <n v="1811.5000000000002"/>
    <n v="417.9"/>
    <n v="300.2"/>
  </r>
  <r>
    <x v="2"/>
    <x v="6"/>
    <x v="4"/>
    <x v="142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50.1"/>
    <n v="140.30000000000001"/>
    <n v="143.69999999999999"/>
    <n v="146.9"/>
    <n v="124.9"/>
    <n v="139.19999999999999"/>
    <n v="151.6"/>
    <n v="133.4"/>
    <n v="138.19999999999999"/>
    <n v="142"/>
    <n v="1791.9000000000003"/>
    <n v="436.1"/>
    <n v="303.29999999999995"/>
  </r>
  <r>
    <x v="0"/>
    <x v="6"/>
    <x v="5"/>
    <x v="150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m/>
    <n v="149.4"/>
    <n v="147.80000000000001"/>
    <n v="149.6"/>
    <n v="151.69999999999999"/>
    <n v="130.19999999999999"/>
    <n v="146.4"/>
    <n v="157.69999999999999"/>
    <n v="134.80000000000001"/>
    <n v="143.30000000000001"/>
    <n v="143.6"/>
    <n v="1804.1999999999998"/>
    <n v="448.59999999999997"/>
    <n v="310.60000000000002"/>
  </r>
  <r>
    <x v="1"/>
    <x v="6"/>
    <x v="5"/>
    <x v="152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49.4"/>
    <n v="130.5"/>
    <n v="137.4"/>
    <n v="140.30000000000001"/>
    <n v="119.6"/>
    <n v="134.30000000000001"/>
    <n v="148.9"/>
    <n v="133.69999999999999"/>
    <n v="133.6"/>
    <n v="142.1"/>
    <n v="1833.2999999999997"/>
    <n v="418.4"/>
    <n v="301"/>
  </r>
  <r>
    <x v="2"/>
    <x v="6"/>
    <x v="5"/>
    <x v="153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9.4"/>
    <n v="141.19999999999999"/>
    <n v="143.80000000000001"/>
    <n v="147.4"/>
    <n v="124.6"/>
    <n v="139.6"/>
    <n v="152.5"/>
    <n v="134.30000000000001"/>
    <n v="138.6"/>
    <n v="142.9"/>
    <n v="1814.1000000000001"/>
    <n v="436.4"/>
    <n v="304.5"/>
  </r>
  <r>
    <x v="0"/>
    <x v="6"/>
    <x v="6"/>
    <x v="137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m/>
    <n v="150.6"/>
    <n v="146.80000000000001"/>
    <n v="150"/>
    <n v="152.19999999999999"/>
    <n v="131.19999999999999"/>
    <n v="147.5"/>
    <n v="159.1"/>
    <n v="136.1"/>
    <n v="144.19999999999999"/>
    <n v="144.9"/>
    <n v="1826.8999999999999"/>
    <n v="449.1"/>
    <n v="312"/>
  </r>
  <r>
    <x v="1"/>
    <x v="6"/>
    <x v="6"/>
    <x v="15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50.6"/>
    <n v="127"/>
    <n v="137.69999999999999"/>
    <n v="140.80000000000001"/>
    <n v="120.6"/>
    <n v="135"/>
    <n v="150.4"/>
    <n v="135.1"/>
    <n v="134.5"/>
    <n v="143.30000000000001"/>
    <n v="1857.3999999999999"/>
    <n v="419.3"/>
    <n v="302.2"/>
  </r>
  <r>
    <x v="2"/>
    <x v="6"/>
    <x v="6"/>
    <x v="146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50.6"/>
    <n v="139.30000000000001"/>
    <n v="144.19999999999999"/>
    <n v="147.9"/>
    <n v="125.6"/>
    <n v="140.5"/>
    <n v="154"/>
    <n v="135.69999999999999"/>
    <n v="139.5"/>
    <n v="144.19999999999999"/>
    <n v="1837.5"/>
    <n v="437"/>
    <n v="305.7"/>
  </r>
  <r>
    <x v="0"/>
    <x v="6"/>
    <x v="7"/>
    <x v="140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m/>
    <n v="151.6"/>
    <n v="146.4"/>
    <n v="150.19999999999999"/>
    <n v="152.69999999999999"/>
    <n v="131.4"/>
    <n v="148"/>
    <n v="159.69999999999999"/>
    <n v="138.80000000000001"/>
    <n v="144.9"/>
    <n v="145.69999999999999"/>
    <n v="1834.5000000000002"/>
    <n v="449.5"/>
    <n v="313.10000000000002"/>
  </r>
  <r>
    <x v="1"/>
    <x v="6"/>
    <x v="7"/>
    <x v="155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51.6"/>
    <n v="125.5"/>
    <n v="138.1"/>
    <n v="141.5"/>
    <n v="120.8"/>
    <n v="135.4"/>
    <n v="151.5"/>
    <n v="137.80000000000001"/>
    <n v="135.30000000000001"/>
    <n v="144.19999999999999"/>
    <n v="1869.1"/>
    <n v="420.2"/>
    <n v="303.3"/>
  </r>
  <r>
    <x v="2"/>
    <x v="6"/>
    <x v="7"/>
    <x v="156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51.6"/>
    <n v="138.5"/>
    <n v="144.5"/>
    <n v="148.5"/>
    <n v="125.8"/>
    <n v="140.9"/>
    <n v="154.9"/>
    <n v="138.4"/>
    <n v="140.19999999999999"/>
    <n v="145"/>
    <n v="1846.5"/>
    <n v="437.6"/>
    <n v="306.70000000000005"/>
  </r>
  <r>
    <x v="0"/>
    <x v="6"/>
    <x v="8"/>
    <x v="156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m/>
    <n v="152.19999999999999"/>
    <n v="146.9"/>
    <n v="150.30000000000001"/>
    <n v="153.4"/>
    <n v="131.6"/>
    <n v="148.30000000000001"/>
    <n v="160.19999999999999"/>
    <n v="140.19999999999999"/>
    <n v="145.4"/>
    <n v="146.69999999999999"/>
    <n v="1848.7"/>
    <n v="449.29999999999995"/>
    <n v="314"/>
  </r>
  <r>
    <x v="1"/>
    <x v="6"/>
    <x v="8"/>
    <x v="157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52.19999999999999"/>
    <n v="126.6"/>
    <n v="138.30000000000001"/>
    <n v="141.9"/>
    <n v="121.2"/>
    <n v="135.9"/>
    <n v="151.6"/>
    <n v="139"/>
    <n v="135.69999999999999"/>
    <n v="144.69999999999999"/>
    <n v="1874.9"/>
    <n v="420.8"/>
    <n v="304.5"/>
  </r>
  <r>
    <x v="2"/>
    <x v="6"/>
    <x v="8"/>
    <x v="158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857.6999999999998"/>
    <n v="437.69999999999993"/>
    <n v="307.8"/>
  </r>
  <r>
    <x v="0"/>
    <x v="6"/>
    <x v="9"/>
    <x v="159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m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876.8999999999996"/>
    <n v="449.4"/>
    <n v="315"/>
  </r>
  <r>
    <x v="1"/>
    <x v="6"/>
    <x v="9"/>
    <x v="160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53"/>
    <n v="128.9"/>
    <n v="138.69999999999999"/>
    <n v="142.4"/>
    <n v="121.5"/>
    <n v="136.19999999999999"/>
    <n v="151.69999999999999"/>
    <n v="139.5"/>
    <n v="136"/>
    <n v="146"/>
    <n v="1902.6000000000001"/>
    <n v="422.20000000000005"/>
    <n v="305.5"/>
  </r>
  <r>
    <x v="2"/>
    <x v="6"/>
    <x v="9"/>
    <x v="16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53"/>
    <n v="140.6"/>
    <n v="145"/>
    <n v="149.4"/>
    <n v="126.3"/>
    <n v="141.69999999999999"/>
    <n v="155.4"/>
    <n v="140"/>
    <n v="141"/>
    <n v="147.19999999999999"/>
    <n v="1885.5999999999997"/>
    <n v="438.40000000000003"/>
    <n v="308.79999999999995"/>
  </r>
  <r>
    <x v="0"/>
    <x v="6"/>
    <x v="11"/>
    <x v="16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m/>
    <n v="153.5"/>
    <n v="148.4"/>
    <n v="150.9"/>
    <n v="154.30000000000001"/>
    <n v="132.1"/>
    <n v="149.1"/>
    <n v="160.80000000000001"/>
    <n v="140.6"/>
    <n v="146.1"/>
    <n v="149.9"/>
    <n v="1904.6000000000001"/>
    <n v="450.8"/>
    <n v="316.29999999999995"/>
  </r>
  <r>
    <x v="1"/>
    <x v="6"/>
    <x v="11"/>
    <x v="162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923.9999999999998"/>
    <n v="423.09999999999997"/>
    <n v="306.60000000000002"/>
  </r>
  <r>
    <x v="2"/>
    <x v="6"/>
    <x v="11"/>
    <x v="163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53.5"/>
    <n v="142.30000000000001"/>
    <n v="145.30000000000001"/>
    <n v="149.9"/>
    <n v="126.6"/>
    <n v="142.1"/>
    <n v="155.5"/>
    <n v="140.30000000000001"/>
    <n v="141.30000000000001"/>
    <n v="148.6"/>
    <n v="1910.9"/>
    <n v="439.5"/>
    <n v="310"/>
  </r>
  <r>
    <x v="0"/>
    <x v="6"/>
    <x v="12"/>
    <x v="164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m/>
    <n v="152.80000000000001"/>
    <n v="149.9"/>
    <n v="151.19999999999999"/>
    <n v="154.80000000000001"/>
    <n v="135"/>
    <n v="149.5"/>
    <n v="161.1"/>
    <n v="140.6"/>
    <n v="147.1"/>
    <n v="152.30000000000001"/>
    <n v="1940.9999999999995"/>
    <n v="451.79999999999995"/>
    <n v="317.3"/>
  </r>
  <r>
    <x v="1"/>
    <x v="6"/>
    <x v="12"/>
    <x v="165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956.7"/>
    <n v="424.20000000000005"/>
    <n v="307.20000000000005"/>
  </r>
  <r>
    <x v="2"/>
    <x v="6"/>
    <x v="12"/>
    <x v="160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946.1000000000001"/>
    <n v="440.6"/>
    <n v="310.8"/>
  </r>
  <r>
    <x v="0"/>
    <x v="7"/>
    <x v="0"/>
    <x v="166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m/>
    <n v="153.9"/>
    <n v="150.4"/>
    <n v="151.69999999999999"/>
    <n v="155.69999999999999"/>
    <n v="136.30000000000001"/>
    <n v="150.1"/>
    <n v="161.69999999999999"/>
    <n v="142.5"/>
    <n v="148.1"/>
    <n v="151.9"/>
    <n v="1938.6"/>
    <n v="452.30000000000007"/>
    <n v="318.7"/>
  </r>
  <r>
    <x v="1"/>
    <x v="7"/>
    <x v="0"/>
    <x v="167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53.9"/>
    <n v="135.1"/>
    <n v="140.1"/>
    <n v="143.80000000000001"/>
    <n v="126.1"/>
    <n v="137.19999999999999"/>
    <n v="152.1"/>
    <n v="142.1"/>
    <n v="138.4"/>
    <n v="148.19999999999999"/>
    <n v="1945.3999999999999"/>
    <n v="425.1"/>
    <n v="308"/>
  </r>
  <r>
    <x v="2"/>
    <x v="7"/>
    <x v="0"/>
    <x v="168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53.9"/>
    <n v="144.6"/>
    <n v="146.19999999999999"/>
    <n v="151.19999999999999"/>
    <n v="130.9"/>
    <n v="142.80000000000001"/>
    <n v="156.1"/>
    <n v="142.30000000000001"/>
    <n v="143.4"/>
    <n v="150.19999999999999"/>
    <n v="1940.3999999999999"/>
    <n v="441.2"/>
    <n v="312"/>
  </r>
  <r>
    <x v="0"/>
    <x v="7"/>
    <x v="1"/>
    <x v="16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m/>
    <n v="154.80000000000001"/>
    <n v="152.30000000000001"/>
    <n v="151.80000000000001"/>
    <n v="156.19999999999999"/>
    <n v="136"/>
    <n v="150.4"/>
    <n v="161.9"/>
    <n v="143.4"/>
    <n v="148.4"/>
    <n v="150.4"/>
    <n v="1909.7999999999997"/>
    <n v="452.8"/>
    <n v="319.8"/>
  </r>
  <r>
    <x v="1"/>
    <x v="7"/>
    <x v="1"/>
    <x v="170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54.80000000000001"/>
    <n v="138.9"/>
    <n v="140.4"/>
    <n v="144.4"/>
    <n v="125.2"/>
    <n v="137.69999999999999"/>
    <n v="152.19999999999999"/>
    <n v="143.5"/>
    <n v="138.4"/>
    <n v="147.69999999999999"/>
    <n v="1916.6"/>
    <n v="426"/>
    <n v="309.7"/>
  </r>
  <r>
    <x v="2"/>
    <x v="7"/>
    <x v="1"/>
    <x v="17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911.6"/>
    <n v="442"/>
    <n v="313.29999999999995"/>
  </r>
  <r>
    <x v="0"/>
    <x v="7"/>
    <x v="2"/>
    <x v="172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m/>
    <n v="154.5"/>
    <n v="153.4"/>
    <n v="151.5"/>
    <n v="156.69999999999999"/>
    <n v="135.80000000000001"/>
    <n v="151.19999999999999"/>
    <n v="161.19999999999999"/>
    <n v="145.1"/>
    <n v="148.6"/>
    <n v="149.80000000000001"/>
    <n v="1894.5999999999997"/>
    <n v="453.5"/>
    <n v="321.7"/>
  </r>
  <r>
    <x v="1"/>
    <x v="7"/>
    <x v="2"/>
    <x v="173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54.5"/>
    <n v="141.4"/>
    <n v="140.80000000000001"/>
    <n v="145"/>
    <n v="124.6"/>
    <n v="137.9"/>
    <n v="152.5"/>
    <n v="145.30000000000001"/>
    <n v="138.69999999999999"/>
    <n v="147.30000000000001"/>
    <n v="1898.5"/>
    <n v="427.1"/>
    <n v="311.20000000000005"/>
  </r>
  <r>
    <x v="2"/>
    <x v="7"/>
    <x v="2"/>
    <x v="174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54.5"/>
    <n v="148.9"/>
    <n v="146.4"/>
    <n v="152.30000000000001"/>
    <n v="129.9"/>
    <n v="143.69999999999999"/>
    <n v="156.1"/>
    <n v="145.19999999999999"/>
    <n v="143.80000000000001"/>
    <n v="148.6"/>
    <n v="1895.4"/>
    <n v="442.90000000000003"/>
    <n v="314.89999999999998"/>
  </r>
  <r>
    <x v="0"/>
    <x v="7"/>
    <x v="3"/>
    <x v="175"/>
    <n v="167.15"/>
    <n v="146.9"/>
    <n v="155.6"/>
    <n v="137.1"/>
    <n v="147.30000000000001"/>
    <n v="162.69999999999999"/>
    <n v="150.19999999999999"/>
    <n v="119.8"/>
    <n v="158.69999999999999"/>
    <n v="139.19999999999999"/>
    <n v="159.6"/>
    <n v="150.1"/>
    <n v="169.95"/>
    <n v="153.19999999999999"/>
    <n v="147.55000000000001"/>
    <n v="152.4"/>
    <m/>
    <n v="155.6"/>
    <n v="148.4"/>
    <n v="151.65"/>
    <n v="154.30000000000001"/>
    <n v="135.9"/>
    <n v="150.80000000000001"/>
    <n v="161.55000000000001"/>
    <n v="144.25"/>
    <n v="148.5"/>
    <n v="150.10000000000002"/>
    <n v="1941.55"/>
    <n v="453.15"/>
    <n v="320.75"/>
  </r>
  <r>
    <x v="1"/>
    <x v="7"/>
    <x v="3"/>
    <x v="176"/>
    <n v="167.55"/>
    <n v="151.9"/>
    <n v="155.5"/>
    <n v="131.6"/>
    <n v="152.9"/>
    <n v="180"/>
    <n v="150.80000000000001"/>
    <n v="121.2"/>
    <n v="154"/>
    <n v="133.5"/>
    <n v="159.05000000000001"/>
    <n v="153.5"/>
    <n v="172.65"/>
    <n v="147.5"/>
    <n v="133.65"/>
    <n v="145.39999999999998"/>
    <n v="155.6"/>
    <n v="155.6"/>
    <n v="137.1"/>
    <n v="140.60000000000002"/>
    <n v="144.80000000000001"/>
    <n v="124.9"/>
    <n v="137.80000000000001"/>
    <n v="152.35"/>
    <n v="144.4"/>
    <n v="138.55000000000001"/>
    <n v="147.5"/>
    <n v="1963.3"/>
    <n v="426.54999999999995"/>
    <n v="310.45000000000005"/>
  </r>
  <r>
    <x v="2"/>
    <x v="7"/>
    <x v="3"/>
    <x v="177"/>
    <n v="167.25"/>
    <n v="148.80000000000001"/>
    <n v="155.6"/>
    <n v="135.1"/>
    <n v="149.9"/>
    <n v="168.6"/>
    <n v="150.4"/>
    <n v="120.3"/>
    <n v="157.1"/>
    <n v="136.80000000000001"/>
    <n v="159.35"/>
    <n v="151.4"/>
    <n v="170.64999999999998"/>
    <n v="151"/>
    <n v="141.80000000000001"/>
    <n v="149.65"/>
    <n v="155.6"/>
    <n v="155.6"/>
    <n v="144.1"/>
    <n v="146.4"/>
    <n v="150.69999999999999"/>
    <n v="130.10000000000002"/>
    <n v="143.44999999999999"/>
    <n v="156.14999999999998"/>
    <n v="144.30000000000001"/>
    <n v="143.69999999999999"/>
    <n v="148.85"/>
    <n v="1949.3"/>
    <n v="442.45000000000005"/>
    <n v="314.09999999999997"/>
  </r>
  <r>
    <x v="0"/>
    <x v="7"/>
    <x v="4"/>
    <x v="178"/>
    <n v="166.97500000000002"/>
    <n v="147.25"/>
    <n v="153.64999999999998"/>
    <n v="135.19999999999999"/>
    <n v="144.55000000000001"/>
    <n v="157.5"/>
    <n v="146"/>
    <n v="116.19999999999999"/>
    <n v="156.35"/>
    <n v="139.64999999999998"/>
    <n v="159.80000000000001"/>
    <n v="149.14999999999998"/>
    <n v="170.22499999999999"/>
    <n v="153.30000000000001"/>
    <n v="147.57499999999999"/>
    <n v="152.44999999999999"/>
    <m/>
    <n v="0"/>
    <n v="150.9"/>
    <n v="151.57499999999999"/>
    <n v="155.5"/>
    <n v="135.85000000000002"/>
    <n v="151"/>
    <n v="161.375"/>
    <n v="144.67500000000001"/>
    <n v="148.55000000000001"/>
    <n v="149.95000000000002"/>
    <n v="1918.0749999999998"/>
    <n v="453.32499999999999"/>
    <n v="321.22500000000002"/>
  </r>
  <r>
    <x v="1"/>
    <x v="7"/>
    <x v="4"/>
    <x v="179"/>
    <n v="167.52500000000001"/>
    <n v="150.4"/>
    <n v="153.30000000000001"/>
    <n v="129.55000000000001"/>
    <n v="148.10000000000002"/>
    <n v="173.5"/>
    <n v="145.25"/>
    <n v="117.80000000000001"/>
    <n v="152.75"/>
    <n v="132.69999999999999"/>
    <n v="159.07499999999999"/>
    <n v="151.80000000000001"/>
    <n v="172.97500000000002"/>
    <n v="147.6"/>
    <n v="133.72500000000002"/>
    <n v="145.5"/>
    <m/>
    <n v="0"/>
    <n v="139.25"/>
    <n v="140.70000000000002"/>
    <n v="144.9"/>
    <n v="124.75"/>
    <n v="137.85000000000002"/>
    <n v="152.42500000000001"/>
    <n v="144.85000000000002"/>
    <n v="138.625"/>
    <n v="147.4"/>
    <n v="1930.9"/>
    <n v="426.82500000000005"/>
    <n v="310.82500000000005"/>
  </r>
  <r>
    <x v="2"/>
    <x v="7"/>
    <x v="4"/>
    <x v="180"/>
    <n v="167.125"/>
    <n v="148.44999999999999"/>
    <n v="153.55000000000001"/>
    <n v="133.14999999999998"/>
    <n v="146.19999999999999"/>
    <n v="162.94999999999999"/>
    <n v="145.75"/>
    <n v="116.75"/>
    <n v="155.14999999999998"/>
    <n v="136.75"/>
    <n v="159.47499999999999"/>
    <n v="150.15"/>
    <n v="170.92499999999998"/>
    <n v="151.1"/>
    <n v="141.85000000000002"/>
    <n v="149.72500000000002"/>
    <m/>
    <n v="0"/>
    <n v="146.5"/>
    <n v="146.4"/>
    <n v="151.5"/>
    <n v="130"/>
    <n v="143.57499999999999"/>
    <n v="156.125"/>
    <n v="144.75"/>
    <n v="143.75"/>
    <n v="148.72499999999999"/>
    <n v="1922.35"/>
    <n v="442.67500000000007"/>
    <n v="314.5"/>
  </r>
  <r>
    <x v="0"/>
    <x v="7"/>
    <x v="5"/>
    <x v="181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335.6"/>
  </r>
  <r>
    <x v="1"/>
    <x v="7"/>
    <x v="5"/>
    <x v="182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331.2"/>
  </r>
  <r>
    <x v="2"/>
    <x v="7"/>
    <x v="5"/>
    <x v="183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331.8"/>
  </r>
  <r>
    <x v="0"/>
    <x v="7"/>
    <x v="6"/>
    <x v="181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335.6"/>
  </r>
  <r>
    <x v="1"/>
    <x v="7"/>
    <x v="6"/>
    <x v="182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331.2"/>
  </r>
  <r>
    <x v="2"/>
    <x v="7"/>
    <x v="6"/>
    <x v="183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331.8"/>
  </r>
  <r>
    <x v="0"/>
    <x v="7"/>
    <x v="7"/>
    <x v="184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m/>
    <n v="155.5"/>
    <n v="145.80000000000001"/>
    <n v="151.9"/>
    <n v="158.80000000000001"/>
    <n v="143.6"/>
    <n v="152.19999999999999"/>
    <n v="162.69999999999999"/>
    <n v="153.6"/>
    <n v="153"/>
    <n v="154.69999999999999"/>
    <n v="1978.6"/>
    <n v="458.7"/>
    <n v="333.1"/>
  </r>
  <r>
    <x v="1"/>
    <x v="7"/>
    <x v="7"/>
    <x v="185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55.5"/>
    <n v="138.30000000000001"/>
    <n v="144.5"/>
    <n v="148.69999999999999"/>
    <n v="133.9"/>
    <n v="141.19999999999999"/>
    <n v="155.5"/>
    <n v="155.19999999999999"/>
    <n v="144.80000000000001"/>
    <n v="152.9"/>
    <n v="2024.8999999999999"/>
    <n v="433"/>
    <n v="328.4"/>
  </r>
  <r>
    <x v="2"/>
    <x v="7"/>
    <x v="7"/>
    <x v="186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55.5"/>
    <n v="143"/>
    <n v="148.4"/>
    <n v="155"/>
    <n v="138.5"/>
    <n v="146"/>
    <n v="158.5"/>
    <n v="154.30000000000001"/>
    <n v="149"/>
    <n v="153.9"/>
    <n v="1995.1999999999998"/>
    <n v="448.2"/>
    <n v="328.6"/>
  </r>
  <r>
    <x v="0"/>
    <x v="7"/>
    <x v="8"/>
    <x v="187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m/>
    <n v="156.30000000000001"/>
    <n v="146.4"/>
    <n v="151.6"/>
    <n v="159.1"/>
    <n v="144.6"/>
    <n v="152.80000000000001"/>
    <n v="161.1"/>
    <n v="157.4"/>
    <n v="153.69999999999999"/>
    <n v="155.4"/>
    <n v="1987.3999999999999"/>
    <n v="459.9"/>
    <n v="335.70000000000005"/>
  </r>
  <r>
    <x v="1"/>
    <x v="7"/>
    <x v="8"/>
    <x v="188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56.30000000000001"/>
    <n v="137.19999999999999"/>
    <n v="145.4"/>
    <n v="150"/>
    <n v="135.1"/>
    <n v="141.80000000000001"/>
    <n v="154.9"/>
    <n v="159.80000000000001"/>
    <n v="146"/>
    <n v="154"/>
    <n v="2041.6000000000001"/>
    <n v="434.6"/>
    <n v="330.5"/>
  </r>
  <r>
    <x v="2"/>
    <x v="7"/>
    <x v="8"/>
    <x v="189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56.30000000000001"/>
    <n v="142.9"/>
    <n v="148.69999999999999"/>
    <n v="155.6"/>
    <n v="139.6"/>
    <n v="146.6"/>
    <n v="157.5"/>
    <n v="158.4"/>
    <n v="150"/>
    <n v="154.69999999999999"/>
    <n v="2007"/>
    <n v="449.70000000000005"/>
    <n v="331"/>
  </r>
  <r>
    <x v="0"/>
    <x v="7"/>
    <x v="9"/>
    <x v="190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m/>
    <n v="156.5"/>
    <n v="146.80000000000001"/>
    <n v="152"/>
    <n v="159.5"/>
    <n v="146.4"/>
    <n v="152.4"/>
    <n v="162.5"/>
    <n v="156.19999999999999"/>
    <n v="154.30000000000001"/>
    <n v="157.5"/>
    <n v="2030.9"/>
    <n v="461.29999999999995"/>
    <n v="335.1"/>
  </r>
  <r>
    <x v="1"/>
    <x v="7"/>
    <x v="9"/>
    <x v="191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56.5"/>
    <n v="137.1"/>
    <n v="145.1"/>
    <n v="151"/>
    <n v="135.4"/>
    <n v="142"/>
    <n v="155.69999999999999"/>
    <n v="158.1"/>
    <n v="146.19999999999999"/>
    <n v="155.19999999999999"/>
    <n v="2080.1999999999998"/>
    <n v="434.90000000000003"/>
    <n v="330.7"/>
  </r>
  <r>
    <x v="2"/>
    <x v="7"/>
    <x v="9"/>
    <x v="192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56.5"/>
    <n v="143.1"/>
    <n v="148.69999999999999"/>
    <n v="156.30000000000001"/>
    <n v="140.6"/>
    <n v="146.5"/>
    <n v="158.5"/>
    <n v="157"/>
    <n v="150.4"/>
    <n v="156.4"/>
    <n v="2048.6000000000004"/>
    <n v="450.59999999999997"/>
    <n v="330.8"/>
  </r>
  <r>
    <x v="0"/>
    <x v="7"/>
    <x v="11"/>
    <x v="193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m/>
    <n v="158"/>
    <n v="147.5"/>
    <n v="152.80000000000001"/>
    <n v="160.4"/>
    <n v="146.1"/>
    <n v="153.6"/>
    <n v="161.6"/>
    <n v="156.19999999999999"/>
    <n v="154.5"/>
    <n v="159.80000000000001"/>
    <n v="2082.4"/>
    <n v="462.8"/>
    <n v="337"/>
  </r>
  <r>
    <x v="1"/>
    <x v="7"/>
    <x v="11"/>
    <x v="194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58"/>
    <n v="137.30000000000001"/>
    <n v="145.1"/>
    <n v="152"/>
    <n v="135.19999999999999"/>
    <n v="144.4"/>
    <n v="156.4"/>
    <n v="157.9"/>
    <n v="146.6"/>
    <n v="156.69999999999999"/>
    <n v="2120.6999999999998"/>
    <n v="436.3"/>
    <n v="333.20000000000005"/>
  </r>
  <r>
    <x v="2"/>
    <x v="7"/>
    <x v="11"/>
    <x v="195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58"/>
    <n v="143.6"/>
    <n v="149.19999999999999"/>
    <n v="157.19999999999999"/>
    <n v="140.4"/>
    <n v="148.4"/>
    <n v="158.6"/>
    <n v="156.9"/>
    <n v="150.69999999999999"/>
    <n v="158.4"/>
    <n v="2095.6"/>
    <n v="452.00000000000006"/>
    <n v="333.20000000000005"/>
  </r>
  <r>
    <x v="0"/>
    <x v="7"/>
    <x v="12"/>
    <x v="19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m/>
    <n v="158.4"/>
    <n v="148.69999999999999"/>
    <n v="153.4"/>
    <n v="161.6"/>
    <n v="146.4"/>
    <n v="153.9"/>
    <n v="162.9"/>
    <n v="156.6"/>
    <n v="155.19999999999999"/>
    <n v="160.69999999999999"/>
    <n v="2100.5"/>
    <n v="464.90000000000003"/>
    <n v="337.5"/>
  </r>
  <r>
    <x v="1"/>
    <x v="7"/>
    <x v="12"/>
    <x v="197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58.4"/>
    <n v="137.9"/>
    <n v="145.5"/>
    <n v="152.9"/>
    <n v="135.5"/>
    <n v="144.30000000000001"/>
    <n v="156.9"/>
    <n v="157.9"/>
    <n v="146.9"/>
    <n v="156.9"/>
    <n v="2125.4"/>
    <n v="438.20000000000005"/>
    <n v="334.5"/>
  </r>
  <r>
    <x v="2"/>
    <x v="7"/>
    <x v="12"/>
    <x v="190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58.4"/>
    <n v="144.6"/>
    <n v="149.69999999999999"/>
    <n v="158.30000000000001"/>
    <n v="140.69999999999999"/>
    <n v="148.5"/>
    <n v="159.4"/>
    <n v="157.1"/>
    <n v="151.19999999999999"/>
    <n v="158.9"/>
    <n v="2109.1"/>
    <n v="454"/>
    <n v="333.9"/>
  </r>
  <r>
    <x v="0"/>
    <x v="8"/>
    <x v="0"/>
    <x v="198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m/>
    <n v="157.69999999999999"/>
    <n v="150.9"/>
    <n v="153.9"/>
    <n v="162.5"/>
    <n v="147.5"/>
    <n v="155.1"/>
    <n v="163.5"/>
    <n v="156.19999999999999"/>
    <n v="155.9"/>
    <n v="158.5"/>
    <n v="2065.6999999999998"/>
    <n v="466.7"/>
    <n v="339.7"/>
  </r>
  <r>
    <x v="1"/>
    <x v="8"/>
    <x v="0"/>
    <x v="199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57.69999999999999"/>
    <n v="142.9"/>
    <n v="145.69999999999999"/>
    <n v="154.1"/>
    <n v="136.9"/>
    <n v="145.4"/>
    <n v="156.1"/>
    <n v="157.69999999999999"/>
    <n v="147.6"/>
    <n v="156"/>
    <n v="2097"/>
    <n v="440"/>
    <n v="337.20000000000005"/>
  </r>
  <r>
    <x v="2"/>
    <x v="8"/>
    <x v="0"/>
    <x v="165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2076.5"/>
    <n v="455.8"/>
    <n v="336.1"/>
  </r>
  <r>
    <x v="0"/>
    <x v="8"/>
    <x v="1"/>
    <x v="164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m/>
    <n v="159.80000000000001"/>
    <n v="154.4"/>
    <n v="154.80000000000001"/>
    <n v="164.3"/>
    <n v="150.19999999999999"/>
    <n v="157"/>
    <n v="163.6"/>
    <n v="155.19999999999999"/>
    <n v="157.19999999999999"/>
    <n v="156.69999999999999"/>
    <n v="2025.3"/>
    <n v="471.4"/>
    <n v="343.5"/>
  </r>
  <r>
    <x v="1"/>
    <x v="8"/>
    <x v="1"/>
    <x v="184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2066"/>
    <n v="444.2"/>
    <n v="340.6"/>
  </r>
  <r>
    <x v="2"/>
    <x v="8"/>
    <x v="1"/>
    <x v="168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9.80000000000001"/>
    <n v="152.4"/>
    <n v="150.9"/>
    <n v="161.30000000000001"/>
    <n v="145.1"/>
    <n v="151.5"/>
    <n v="159.5"/>
    <n v="155.80000000000001"/>
    <n v="153.4"/>
    <n v="156.6"/>
    <n v="2039.3000000000002"/>
    <n v="460.40000000000003"/>
    <n v="339.8"/>
  </r>
  <r>
    <x v="0"/>
    <x v="8"/>
    <x v="2"/>
    <x v="163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m/>
    <n v="159.9"/>
    <n v="156"/>
    <n v="154.80000000000001"/>
    <n v="164.6"/>
    <n v="151.30000000000001"/>
    <n v="157.80000000000001"/>
    <n v="163.80000000000001"/>
    <n v="153.1"/>
    <n v="157.30000000000001"/>
    <n v="156.69999999999999"/>
    <n v="2025.7"/>
    <n v="472.9"/>
    <n v="343.9"/>
  </r>
  <r>
    <x v="1"/>
    <x v="8"/>
    <x v="2"/>
    <x v="192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9.9"/>
    <n v="154.80000000000001"/>
    <n v="147.19999999999999"/>
    <n v="156.9"/>
    <n v="141.69999999999999"/>
    <n v="148.6"/>
    <n v="157.6"/>
    <n v="154.9"/>
    <n v="150"/>
    <n v="156.9"/>
    <n v="2064.4999999999995"/>
    <n v="446.4"/>
    <n v="342.1"/>
  </r>
  <r>
    <x v="2"/>
    <x v="8"/>
    <x v="2"/>
    <x v="162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2039.3999999999999"/>
    <n v="462.1"/>
    <n v="340.7"/>
  </r>
  <r>
    <x v="0"/>
    <x v="8"/>
    <x v="3"/>
    <x v="157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m/>
    <n v="161.4"/>
    <n v="156"/>
    <n v="155.5"/>
    <n v="165.3"/>
    <n v="151.69999999999999"/>
    <n v="158.6"/>
    <n v="164.1"/>
    <n v="154.6"/>
    <n v="158"/>
    <n v="157.6"/>
    <n v="2049.5"/>
    <n v="475.69999999999993"/>
    <n v="345.4"/>
  </r>
  <r>
    <x v="1"/>
    <x v="8"/>
    <x v="3"/>
    <x v="184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61.4"/>
    <n v="154.9"/>
    <n v="147.6"/>
    <n v="157.5"/>
    <n v="142.1"/>
    <n v="149.1"/>
    <n v="157.6"/>
    <n v="156.6"/>
    <n v="150.5"/>
    <n v="158"/>
    <n v="2089.6"/>
    <n v="448.6"/>
    <n v="343.5"/>
  </r>
  <r>
    <x v="2"/>
    <x v="8"/>
    <x v="3"/>
    <x v="168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61.4"/>
    <n v="155.6"/>
    <n v="151.80000000000001"/>
    <n v="162.30000000000001"/>
    <n v="146.6"/>
    <n v="153.19999999999999"/>
    <n v="160.30000000000001"/>
    <n v="155.4"/>
    <n v="154.4"/>
    <n v="157.80000000000001"/>
    <n v="2064.1"/>
    <n v="464.6"/>
    <n v="342"/>
  </r>
  <r>
    <x v="0"/>
    <x v="8"/>
    <x v="4"/>
    <x v="174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m/>
    <n v="161.6"/>
    <n v="161.69999999999999"/>
    <n v="158.80000000000001"/>
    <n v="169.1"/>
    <n v="153.19999999999999"/>
    <n v="160"/>
    <n v="167.6"/>
    <n v="159.30000000000001"/>
    <n v="161.1"/>
    <n v="161.1"/>
    <n v="2095.2999999999997"/>
    <n v="490.4"/>
    <n v="349.6"/>
  </r>
  <r>
    <x v="1"/>
    <x v="8"/>
    <x v="4"/>
    <x v="200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61.6"/>
    <n v="155.5"/>
    <n v="150.1"/>
    <n v="160.4"/>
    <n v="145"/>
    <n v="152.6"/>
    <n v="156.6"/>
    <n v="157.5"/>
    <n v="152.30000000000001"/>
    <n v="159.5"/>
    <n v="2124.7000000000003"/>
    <n v="450.79999999999995"/>
    <n v="350.79999999999995"/>
  </r>
  <r>
    <x v="2"/>
    <x v="8"/>
    <x v="4"/>
    <x v="2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61.6"/>
    <n v="159.4"/>
    <n v="154.69999999999999"/>
    <n v="165.8"/>
    <n v="148.9"/>
    <n v="155.80000000000001"/>
    <n v="161.19999999999999"/>
    <n v="158.6"/>
    <n v="156.80000000000001"/>
    <n v="160.4"/>
    <n v="2105.7000000000003"/>
    <n v="474.29999999999995"/>
    <n v="347.70000000000005"/>
  </r>
  <r>
    <x v="0"/>
    <x v="8"/>
    <x v="5"/>
    <x v="167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m/>
    <n v="160.5"/>
    <n v="162.1"/>
    <n v="159.19999999999999"/>
    <n v="169.7"/>
    <n v="154.19999999999999"/>
    <n v="160.4"/>
    <n v="166.8"/>
    <n v="159.4"/>
    <n v="161.5"/>
    <n v="162.1"/>
    <n v="2122.6"/>
    <n v="489.80000000000007"/>
    <n v="349.5"/>
  </r>
  <r>
    <x v="1"/>
    <x v="8"/>
    <x v="5"/>
    <x v="202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60.5"/>
    <n v="156.1"/>
    <n v="149.80000000000001"/>
    <n v="160.80000000000001"/>
    <n v="147.5"/>
    <n v="150.69999999999999"/>
    <n v="158.1"/>
    <n v="158"/>
    <n v="153.4"/>
    <n v="160.4"/>
    <n v="2154.1999999999998"/>
    <n v="452.6"/>
    <n v="346.29999999999995"/>
  </r>
  <r>
    <x v="2"/>
    <x v="8"/>
    <x v="5"/>
    <x v="203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2133.9"/>
    <n v="474.7"/>
    <n v="345.70000000000005"/>
  </r>
  <r>
    <x v="0"/>
    <x v="8"/>
    <x v="6"/>
    <x v="174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m/>
    <n v="161.5"/>
    <n v="162.5"/>
    <n v="160.30000000000001"/>
    <n v="170.4"/>
    <n v="157.1"/>
    <n v="160.69999999999999"/>
    <n v="167.2"/>
    <n v="160.4"/>
    <n v="162.80000000000001"/>
    <n v="163.19999999999999"/>
    <n v="2132.4"/>
    <n v="492.40000000000003"/>
    <n v="350.4"/>
  </r>
  <r>
    <x v="1"/>
    <x v="8"/>
    <x v="6"/>
    <x v="204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61.5"/>
    <n v="157.69999999999999"/>
    <n v="150.69999999999999"/>
    <n v="161.5"/>
    <n v="149.5"/>
    <n v="151.19999999999999"/>
    <n v="160.30000000000001"/>
    <n v="159.6"/>
    <n v="155"/>
    <n v="161.80000000000001"/>
    <n v="2171.8000000000002"/>
    <n v="455.3"/>
    <n v="346.7"/>
  </r>
  <r>
    <x v="2"/>
    <x v="8"/>
    <x v="6"/>
    <x v="205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1.5"/>
    <n v="160.69999999999999"/>
    <n v="155.80000000000001"/>
    <n v="167"/>
    <n v="153.1"/>
    <n v="155.30000000000001"/>
    <n v="163.19999999999999"/>
    <n v="160.1"/>
    <n v="159"/>
    <n v="162.5"/>
    <n v="2147"/>
    <n v="477.29999999999995"/>
    <n v="346.5"/>
  </r>
  <r>
    <x v="0"/>
    <x v="8"/>
    <x v="7"/>
    <x v="165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m/>
    <n v="162.1"/>
    <n v="163.1"/>
    <n v="160.9"/>
    <n v="171.1"/>
    <n v="157.69999999999999"/>
    <n v="161.1"/>
    <n v="167.5"/>
    <n v="160.30000000000001"/>
    <n v="163.30000000000001"/>
    <n v="163.6"/>
    <n v="2130.8000000000002"/>
    <n v="495.90000000000003"/>
    <n v="351.29999999999995"/>
  </r>
  <r>
    <x v="1"/>
    <x v="8"/>
    <x v="7"/>
    <x v="206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2.1"/>
    <n v="160.69999999999999"/>
    <n v="153.19999999999999"/>
    <n v="162.80000000000001"/>
    <n v="150.4"/>
    <n v="153.69999999999999"/>
    <n v="160.4"/>
    <n v="159.6"/>
    <n v="156"/>
    <n v="162.30000000000001"/>
    <n v="2157.9"/>
    <n v="460.7"/>
    <n v="350.2"/>
  </r>
  <r>
    <x v="2"/>
    <x v="8"/>
    <x v="7"/>
    <x v="207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1"/>
    <n v="162.6"/>
    <n v="157.5"/>
    <n v="168.4"/>
    <n v="154"/>
    <n v="157.6"/>
    <n v="163.80000000000001"/>
    <n v="160"/>
    <n v="160"/>
    <n v="163.19999999999999"/>
    <n v="2142"/>
    <n v="483"/>
    <n v="349.7"/>
  </r>
  <r>
    <x v="0"/>
    <x v="8"/>
    <x v="8"/>
    <x v="193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m/>
    <n v="162.1"/>
    <n v="163.69999999999999"/>
    <n v="161.30000000000001"/>
    <n v="171.9"/>
    <n v="157.80000000000001"/>
    <n v="162.69999999999999"/>
    <n v="168.5"/>
    <n v="160.19999999999999"/>
    <n v="163.80000000000001"/>
    <n v="164"/>
    <n v="2133.6"/>
    <n v="498.4"/>
    <n v="353.2"/>
  </r>
  <r>
    <x v="1"/>
    <x v="8"/>
    <x v="8"/>
    <x v="206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2.1"/>
    <n v="160.80000000000001"/>
    <n v="153.30000000000001"/>
    <n v="162.80000000000001"/>
    <n v="150.5"/>
    <n v="153.9"/>
    <n v="160.30000000000001"/>
    <n v="159.6"/>
    <n v="156"/>
    <n v="162.30000000000001"/>
    <n v="2157.9"/>
    <n v="460.79999999999995"/>
    <n v="350.4"/>
  </r>
  <r>
    <x v="2"/>
    <x v="8"/>
    <x v="8"/>
    <x v="207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1"/>
    <n v="162.6"/>
    <n v="157.5"/>
    <n v="168.4"/>
    <n v="154"/>
    <n v="157.69999999999999"/>
    <n v="163.69999999999999"/>
    <n v="160"/>
    <n v="160"/>
    <n v="163.19999999999999"/>
    <n v="2142"/>
    <n v="483.2"/>
    <n v="349.79999999999995"/>
  </r>
  <r>
    <x v="0"/>
    <x v="8"/>
    <x v="9"/>
    <x v="208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m/>
    <n v="163.6"/>
    <n v="165.5"/>
    <n v="162"/>
    <n v="172.5"/>
    <n v="159.5"/>
    <n v="163.19999999999999"/>
    <n v="169"/>
    <n v="161.1"/>
    <n v="164.7"/>
    <n v="166.3"/>
    <n v="2164.1999999999998"/>
    <n v="502.00000000000006"/>
    <n v="354.4"/>
  </r>
  <r>
    <x v="1"/>
    <x v="8"/>
    <x v="9"/>
    <x v="209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3.6"/>
    <n v="162.19999999999999"/>
    <n v="154.30000000000001"/>
    <n v="163.5"/>
    <n v="152.19999999999999"/>
    <n v="155.1"/>
    <n v="160.30000000000001"/>
    <n v="160.30000000000001"/>
    <n v="157"/>
    <n v="164.6"/>
    <n v="2198.4000000000005"/>
    <n v="463.50000000000006"/>
    <n v="352.1"/>
  </r>
  <r>
    <x v="2"/>
    <x v="8"/>
    <x v="9"/>
    <x v="210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3.6"/>
    <n v="164.2"/>
    <n v="158.4"/>
    <n v="169.1"/>
    <n v="155.69999999999999"/>
    <n v="158.6"/>
    <n v="163.9"/>
    <n v="160.80000000000001"/>
    <n v="161"/>
    <n v="165.5"/>
    <n v="2175.5"/>
    <n v="486.3"/>
    <n v="351.29999999999995"/>
  </r>
  <r>
    <x v="0"/>
    <x v="8"/>
    <x v="11"/>
    <x v="187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m/>
    <n v="164.2"/>
    <n v="165.3"/>
    <n v="162.9"/>
    <n v="173.4"/>
    <n v="158.9"/>
    <n v="163.80000000000001"/>
    <n v="169.3"/>
    <n v="162.4"/>
    <n v="165.2"/>
    <n v="167.6"/>
    <n v="2182"/>
    <n v="506.2"/>
    <n v="355.20000000000005"/>
  </r>
  <r>
    <x v="1"/>
    <x v="8"/>
    <x v="11"/>
    <x v="21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2217.8999999999996"/>
    <n v="467.3"/>
    <n v="353.7"/>
  </r>
  <r>
    <x v="2"/>
    <x v="8"/>
    <x v="11"/>
    <x v="181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4.2"/>
    <n v="163.9"/>
    <n v="159.30000000000001"/>
    <n v="169.9"/>
    <n v="154.80000000000001"/>
    <n v="159.80000000000001"/>
    <n v="164.3"/>
    <n v="162.19999999999999"/>
    <n v="161.4"/>
    <n v="166.7"/>
    <n v="2194.1"/>
    <n v="490.40000000000003"/>
    <n v="352.70000000000005"/>
  </r>
  <r>
    <x v="0"/>
    <x v="8"/>
    <x v="12"/>
    <x v="210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m/>
    <n v="163.4"/>
    <n v="165.6"/>
    <n v="163.9"/>
    <n v="174"/>
    <n v="160.1"/>
    <n v="164.5"/>
    <n v="169.7"/>
    <n v="162.80000000000001"/>
    <n v="166"/>
    <n v="167"/>
    <n v="2168.1999999999998"/>
    <n v="510.3"/>
    <n v="355.3"/>
  </r>
  <r>
    <x v="1"/>
    <x v="8"/>
    <x v="12"/>
    <x v="185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3.4"/>
    <n v="161.69999999999999"/>
    <n v="156"/>
    <n v="165.1"/>
    <n v="151.80000000000001"/>
    <n v="157.6"/>
    <n v="160.6"/>
    <n v="162.4"/>
    <n v="157.80000000000001"/>
    <n v="165.2"/>
    <n v="2206.3000000000002"/>
    <n v="470.7"/>
    <n v="354.4"/>
  </r>
  <r>
    <x v="2"/>
    <x v="8"/>
    <x v="12"/>
    <x v="177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3.4"/>
    <n v="164.1"/>
    <n v="160.19999999999999"/>
    <n v="170.6"/>
    <n v="155.69999999999999"/>
    <n v="160.6"/>
    <n v="164.4"/>
    <n v="162.6"/>
    <n v="162"/>
    <n v="166.2"/>
    <n v="2180.9"/>
    <n v="494.2"/>
    <n v="353"/>
  </r>
  <r>
    <x v="0"/>
    <x v="9"/>
    <x v="0"/>
    <x v="212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m/>
    <n v="164.5"/>
    <n v="165.8"/>
    <n v="164.9"/>
    <n v="174.7"/>
    <n v="160.80000000000001"/>
    <n v="164.9"/>
    <n v="169.9"/>
    <n v="163.19999999999999"/>
    <n v="166.6"/>
    <n v="166.4"/>
    <n v="2153"/>
    <n v="515.20000000000005"/>
    <n v="355.6"/>
  </r>
  <r>
    <x v="1"/>
    <x v="9"/>
    <x v="0"/>
    <x v="213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4.5"/>
    <n v="161.6"/>
    <n v="156.80000000000001"/>
    <n v="166.1"/>
    <n v="152.69999999999999"/>
    <n v="158.4"/>
    <n v="161"/>
    <n v="162.80000000000001"/>
    <n v="158.6"/>
    <n v="165"/>
    <n v="2186.6999999999998"/>
    <n v="475.4"/>
    <n v="354.8"/>
  </r>
  <r>
    <x v="2"/>
    <x v="9"/>
    <x v="0"/>
    <x v="214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5"/>
    <n v="164.2"/>
    <n v="161.1"/>
    <n v="171.4"/>
    <n v="156.5"/>
    <n v="161.19999999999999"/>
    <n v="164.7"/>
    <n v="163"/>
    <n v="162.69999999999999"/>
    <n v="165.7"/>
    <n v="2164.1999999999998"/>
    <n v="499.1"/>
    <n v="353.4"/>
  </r>
  <r>
    <x v="0"/>
    <x v="9"/>
    <x v="1"/>
    <x v="200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m/>
    <n v="165.5"/>
    <n v="167.4"/>
    <n v="165.7"/>
    <n v="175.3"/>
    <n v="161.19999999999999"/>
    <n v="165.5"/>
    <n v="170.3"/>
    <n v="164.5"/>
    <n v="167.3"/>
    <n v="166.7"/>
    <n v="2150.4"/>
    <n v="518.79999999999995"/>
    <n v="357"/>
  </r>
  <r>
    <x v="1"/>
    <x v="9"/>
    <x v="1"/>
    <x v="21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5.5"/>
    <n v="163"/>
    <n v="157.4"/>
    <n v="167.2"/>
    <n v="153.1"/>
    <n v="159.5"/>
    <n v="162"/>
    <n v="164.2"/>
    <n v="159.4"/>
    <n v="165.5"/>
    <n v="2183.5"/>
    <n v="479.5"/>
    <n v="356"/>
  </r>
  <r>
    <x v="2"/>
    <x v="9"/>
    <x v="1"/>
    <x v="216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5"/>
    <n v="165.7"/>
    <n v="161.80000000000001"/>
    <n v="172.2"/>
    <n v="156.9"/>
    <n v="162.1"/>
    <n v="165.4"/>
    <n v="164.4"/>
    <n v="163.5"/>
    <n v="166.1"/>
    <n v="2161.2000000000003"/>
    <n v="502.80000000000007"/>
    <n v="354.9"/>
  </r>
  <r>
    <x v="0"/>
    <x v="9"/>
    <x v="2"/>
    <x v="217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m/>
    <n v="165.3"/>
    <n v="168.9"/>
    <n v="166.5"/>
    <n v="176"/>
    <n v="162"/>
    <n v="166.6"/>
    <n v="170.6"/>
    <n v="167.4"/>
    <n v="168.3"/>
    <n v="168.7"/>
    <n v="2179.1000000000004"/>
    <n v="523.70000000000005"/>
    <n v="358.9"/>
  </r>
  <r>
    <x v="1"/>
    <x v="9"/>
    <x v="2"/>
    <x v="218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5.3"/>
    <n v="164.5"/>
    <n v="158.6"/>
    <n v="168.2"/>
    <n v="154.19999999999999"/>
    <n v="160.80000000000001"/>
    <n v="162.69999999999999"/>
    <n v="166.8"/>
    <n v="160.6"/>
    <n v="166.5"/>
    <n v="2196.3000000000002"/>
    <n v="484.6"/>
    <n v="358.3"/>
  </r>
  <r>
    <x v="2"/>
    <x v="9"/>
    <x v="2"/>
    <x v="219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5.3"/>
    <n v="167.2"/>
    <n v="162.80000000000001"/>
    <n v="173"/>
    <n v="157.9"/>
    <n v="163.30000000000001"/>
    <n v="166"/>
    <n v="167.2"/>
    <n v="164.6"/>
    <n v="167.7"/>
    <n v="2184.2000000000003"/>
    <n v="507.79999999999995"/>
    <n v="357"/>
  </r>
  <r>
    <x v="0"/>
    <x v="9"/>
    <x v="3"/>
    <x v="176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m/>
    <n v="167"/>
    <n v="173.3"/>
    <n v="167.7"/>
    <n v="177"/>
    <n v="166.2"/>
    <n v="167.2"/>
    <n v="170.9"/>
    <n v="169"/>
    <n v="170.2"/>
    <n v="170.8"/>
    <n v="2206.6"/>
    <n v="529.70000000000005"/>
    <n v="360"/>
  </r>
  <r>
    <x v="1"/>
    <x v="9"/>
    <x v="3"/>
    <x v="220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67"/>
    <n v="170.5"/>
    <n v="159.80000000000001"/>
    <n v="169"/>
    <n v="159.30000000000001"/>
    <n v="162.19999999999999"/>
    <n v="164"/>
    <n v="168.4"/>
    <n v="163.1"/>
    <n v="169.2"/>
    <n v="2230.4"/>
    <n v="489.2"/>
    <n v="359.29999999999995"/>
  </r>
  <r>
    <x v="2"/>
    <x v="9"/>
    <x v="3"/>
    <x v="221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67"/>
    <n v="172.2"/>
    <n v="164"/>
    <n v="174"/>
    <n v="162.6"/>
    <n v="164.4"/>
    <n v="166.9"/>
    <n v="168.8"/>
    <n v="166.8"/>
    <n v="170.1"/>
    <n v="2214.3000000000002"/>
    <n v="513.20000000000005"/>
    <n v="358.3"/>
  </r>
  <r>
    <x v="0"/>
    <x v="9"/>
    <x v="4"/>
    <x v="221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m/>
    <n v="167.5"/>
    <n v="175.3"/>
    <n v="168.9"/>
    <n v="177.7"/>
    <n v="167.1"/>
    <n v="167.6"/>
    <n v="171.8"/>
    <n v="168.5"/>
    <n v="170.9"/>
    <n v="172.5"/>
    <n v="2226.8000000000002"/>
    <n v="535.5"/>
    <n v="360.5"/>
  </r>
  <r>
    <x v="1"/>
    <x v="9"/>
    <x v="4"/>
    <x v="222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67.5"/>
    <n v="173.5"/>
    <n v="161.1"/>
    <n v="170.1"/>
    <n v="159.4"/>
    <n v="163.19999999999999"/>
    <n v="165.2"/>
    <n v="168.2"/>
    <n v="163.80000000000001"/>
    <n v="170.8"/>
    <n v="2262.2000000000003"/>
    <n v="493.7"/>
    <n v="360.7"/>
  </r>
  <r>
    <x v="2"/>
    <x v="9"/>
    <x v="4"/>
    <x v="223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67.5"/>
    <n v="174.6"/>
    <n v="165.2"/>
    <n v="174.8"/>
    <n v="163"/>
    <n v="165.1"/>
    <n v="167.9"/>
    <n v="168.4"/>
    <n v="167.5"/>
    <n v="171.7"/>
    <n v="2238.9000000000005"/>
    <n v="518.6"/>
    <n v="359.2"/>
  </r>
  <r>
    <x v="0"/>
    <x v="9"/>
    <x v="5"/>
    <x v="224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m/>
    <n v="166.8"/>
    <n v="176.7"/>
    <n v="170.3"/>
    <n v="178.2"/>
    <n v="165.5"/>
    <n v="168"/>
    <n v="172.6"/>
    <n v="169.5"/>
    <n v="171"/>
    <n v="173.6"/>
    <n v="2248.3000000000002"/>
    <n v="539.79999999999995"/>
    <n v="360.9"/>
  </r>
  <r>
    <x v="1"/>
    <x v="9"/>
    <x v="5"/>
    <x v="22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66.8"/>
    <n v="174.9"/>
    <n v="162.1"/>
    <n v="170.9"/>
    <n v="157.19999999999999"/>
    <n v="164.1"/>
    <n v="166.5"/>
    <n v="169.2"/>
    <n v="163.80000000000001"/>
    <n v="171.4"/>
    <n v="2287.5"/>
    <n v="498.4"/>
    <n v="362.4"/>
  </r>
  <r>
    <x v="2"/>
    <x v="9"/>
    <x v="5"/>
    <x v="226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66.8"/>
    <n v="176"/>
    <n v="166.4"/>
    <n v="175.4"/>
    <n v="161.1"/>
    <n v="165.8"/>
    <n v="169"/>
    <n v="169.4"/>
    <n v="167.5"/>
    <n v="172.6"/>
    <n v="2261.9"/>
    <n v="523"/>
    <n v="360.1"/>
  </r>
  <r>
    <x v="0"/>
    <x v="9"/>
    <x v="6"/>
    <x v="227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m/>
    <n v="167.8"/>
    <n v="179.6"/>
    <n v="171.3"/>
    <n v="178.8"/>
    <n v="166.3"/>
    <n v="168.6"/>
    <n v="174.7"/>
    <n v="169.7"/>
    <n v="171.8"/>
    <n v="174.3"/>
    <n v="2252.5"/>
    <n v="544"/>
    <n v="361.79999999999995"/>
  </r>
  <r>
    <x v="1"/>
    <x v="9"/>
    <x v="6"/>
    <x v="228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67.8"/>
    <n v="179.5"/>
    <n v="163.1"/>
    <n v="171.7"/>
    <n v="157.4"/>
    <n v="164.6"/>
    <n v="169.1"/>
    <n v="169.8"/>
    <n v="164.7"/>
    <n v="172.3"/>
    <n v="2291.6"/>
    <n v="502"/>
    <n v="363.2"/>
  </r>
  <r>
    <x v="2"/>
    <x v="9"/>
    <x v="6"/>
    <x v="229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67.8"/>
    <n v="179.6"/>
    <n v="167.4"/>
    <n v="176.1"/>
    <n v="161.6"/>
    <n v="166.3"/>
    <n v="171.4"/>
    <n v="169.7"/>
    <n v="168.4"/>
    <n v="173.4"/>
    <n v="2266.3000000000002"/>
    <n v="526.90000000000009"/>
    <n v="360.9"/>
  </r>
  <r>
    <x v="0"/>
    <x v="9"/>
    <x v="7"/>
    <x v="230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m/>
    <n v="169"/>
    <n v="179.1"/>
    <n v="172.3"/>
    <n v="179.4"/>
    <n v="166.6"/>
    <n v="169.3"/>
    <n v="175.7"/>
    <n v="171.1"/>
    <n v="172.6"/>
    <n v="175.3"/>
    <n v="2255.7999999999997"/>
    <n v="547.9"/>
    <n v="363"/>
  </r>
  <r>
    <x v="1"/>
    <x v="9"/>
    <x v="7"/>
    <x v="23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69"/>
    <n v="178.4"/>
    <n v="164.2"/>
    <n v="172.6"/>
    <n v="157.69999999999999"/>
    <n v="165.1"/>
    <n v="169.9"/>
    <n v="171.4"/>
    <n v="165.4"/>
    <n v="173.1"/>
    <n v="2293.6999999999998"/>
    <n v="505.29999999999995"/>
    <n v="363.79999999999995"/>
  </r>
  <r>
    <x v="2"/>
    <x v="9"/>
    <x v="7"/>
    <x v="232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69"/>
    <n v="178.8"/>
    <n v="168.5"/>
    <n v="176.8"/>
    <n v="161.9"/>
    <n v="166.9"/>
    <n v="172.3"/>
    <n v="171.2"/>
    <n v="169.1"/>
    <n v="174.3"/>
    <n v="2269.2000000000003"/>
    <n v="530.70000000000005"/>
    <n v="361.9"/>
  </r>
  <r>
    <x v="0"/>
    <x v="9"/>
    <x v="8"/>
    <x v="233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m/>
    <n v="169.5"/>
    <n v="179.7"/>
    <n v="173.6"/>
    <n v="180.2"/>
    <n v="166.9"/>
    <n v="170"/>
    <n v="176.2"/>
    <n v="170.8"/>
    <n v="173.1"/>
    <n v="176.4"/>
    <n v="2267.8000000000002"/>
    <n v="552.5"/>
    <n v="364.5"/>
  </r>
  <r>
    <x v="1"/>
    <x v="9"/>
    <x v="8"/>
    <x v="234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69.5"/>
    <n v="179.2"/>
    <n v="165"/>
    <n v="173.8"/>
    <n v="158.19999999999999"/>
    <n v="165.8"/>
    <n v="170.9"/>
    <n v="171.1"/>
    <n v="166.1"/>
    <n v="174.1"/>
    <n v="2306.4"/>
    <n v="509.7"/>
    <n v="365.5"/>
  </r>
  <r>
    <x v="2"/>
    <x v="9"/>
    <x v="8"/>
    <x v="23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69.5"/>
    <n v="179.5"/>
    <n v="169.5"/>
    <n v="177.8"/>
    <n v="162.30000000000001"/>
    <n v="167.6"/>
    <n v="173.1"/>
    <n v="170.9"/>
    <n v="169.7"/>
    <n v="175.3"/>
    <n v="2280.9"/>
    <n v="535.1"/>
    <n v="363.5"/>
  </r>
  <r>
    <x v="0"/>
    <x v="9"/>
    <x v="9"/>
    <x v="236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m/>
    <n v="171.2"/>
    <n v="180.8"/>
    <n v="174.4"/>
    <n v="181.2"/>
    <n v="167.4"/>
    <n v="170.6"/>
    <n v="176.5"/>
    <n v="172"/>
    <n v="173.9"/>
    <n v="177.9"/>
    <n v="2284.5"/>
    <n v="556.4"/>
    <n v="365.5"/>
  </r>
  <r>
    <x v="1"/>
    <x v="9"/>
    <x v="9"/>
    <x v="237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71.2"/>
    <n v="180"/>
    <n v="166"/>
    <n v="174.7"/>
    <n v="158.80000000000001"/>
    <n v="166.3"/>
    <n v="171.2"/>
    <n v="172.3"/>
    <n v="166.8"/>
    <n v="175.3"/>
    <n v="2322.3000000000002"/>
    <n v="511.70000000000005"/>
    <n v="366.4"/>
  </r>
  <r>
    <x v="2"/>
    <x v="9"/>
    <x v="9"/>
    <x v="238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71.2"/>
    <n v="180.5"/>
    <n v="170.4"/>
    <n v="178.7"/>
    <n v="162.9"/>
    <n v="168.2"/>
    <n v="173.4"/>
    <n v="172.1"/>
    <n v="170.5"/>
    <n v="176.7"/>
    <n v="2297.3000000000002"/>
    <n v="538.20000000000005"/>
    <n v="364.5"/>
  </r>
  <r>
    <x v="0"/>
    <x v="9"/>
    <x v="11"/>
    <x v="23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m/>
    <n v="171.8"/>
    <n v="181.9"/>
    <n v="175.5"/>
    <n v="182.3"/>
    <n v="167.5"/>
    <n v="170.8"/>
    <n v="176.9"/>
    <n v="173.4"/>
    <n v="174.6"/>
    <n v="177.8"/>
    <n v="2287.6999999999998"/>
    <n v="559.29999999999995"/>
    <n v="366.3"/>
  </r>
  <r>
    <x v="1"/>
    <x v="9"/>
    <x v="11"/>
    <x v="240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71.8"/>
    <n v="180.3"/>
    <n v="166.9"/>
    <n v="175.8"/>
    <n v="158.9"/>
    <n v="166.7"/>
    <n v="171.5"/>
    <n v="173.8"/>
    <n v="167.4"/>
    <n v="174.1"/>
    <n v="2314.4"/>
    <n v="514.9"/>
    <n v="367.29999999999995"/>
  </r>
  <r>
    <x v="2"/>
    <x v="9"/>
    <x v="11"/>
    <x v="241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71.8"/>
    <n v="181.3"/>
    <n v="171.4"/>
    <n v="179.8"/>
    <n v="163"/>
    <n v="168.5"/>
    <n v="173.7"/>
    <n v="173.6"/>
    <n v="171.1"/>
    <n v="176.5"/>
    <n v="2296.8000000000002"/>
    <n v="541.4"/>
    <n v="365.4"/>
  </r>
  <r>
    <x v="0"/>
    <x v="9"/>
    <x v="12"/>
    <x v="242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m/>
    <n v="170.7"/>
    <n v="182.8"/>
    <n v="176.4"/>
    <n v="183.5"/>
    <n v="167.8"/>
    <n v="171.2"/>
    <n v="177.3"/>
    <n v="175.7"/>
    <n v="175.5"/>
    <n v="177.1"/>
    <n v="2277.1"/>
    <n v="561.79999999999995"/>
    <n v="367.1"/>
  </r>
  <r>
    <x v="1"/>
    <x v="9"/>
    <x v="12"/>
    <x v="243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70.7"/>
    <n v="180.6"/>
    <n v="167.3"/>
    <n v="177.2"/>
    <n v="159.4"/>
    <n v="167.1"/>
    <n v="171.8"/>
    <n v="176"/>
    <n v="168.2"/>
    <n v="174.1"/>
    <n v="2295.7999999999997"/>
    <n v="517.9"/>
    <n v="368.2"/>
  </r>
  <r>
    <x v="2"/>
    <x v="9"/>
    <x v="12"/>
    <x v="244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70.7"/>
    <n v="182"/>
    <n v="172.1"/>
    <n v="181.1"/>
    <n v="163.4"/>
    <n v="168.9"/>
    <n v="174.1"/>
    <n v="175.8"/>
    <n v="172"/>
    <n v="175.7"/>
    <n v="2283.4"/>
    <n v="544"/>
    <n v="366.20000000000005"/>
  </r>
  <r>
    <x v="0"/>
    <x v="10"/>
    <x v="0"/>
    <x v="245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m/>
    <n v="172.1"/>
    <n v="183.2"/>
    <n v="177.2"/>
    <n v="184.7"/>
    <n v="168.2"/>
    <n v="171.8"/>
    <n v="177.8"/>
    <n v="178.4"/>
    <n v="176.5"/>
    <n v="177.8"/>
    <n v="2283.2000000000003"/>
    <n v="563.9"/>
    <n v="368.70000000000005"/>
  </r>
  <r>
    <x v="1"/>
    <x v="10"/>
    <x v="0"/>
    <x v="246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72.1"/>
    <n v="180.1"/>
    <n v="168"/>
    <n v="178.5"/>
    <n v="159.5"/>
    <n v="167.8"/>
    <n v="171.8"/>
    <n v="178.8"/>
    <n v="168.9"/>
    <n v="174.9"/>
    <n v="2310.2000000000003"/>
    <n v="520.6"/>
    <n v="369.4"/>
  </r>
  <r>
    <x v="2"/>
    <x v="10"/>
    <x v="0"/>
    <x v="247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72.1"/>
    <n v="182"/>
    <n v="172.9"/>
    <n v="182.3"/>
    <n v="163.6"/>
    <n v="169.5"/>
    <n v="174.3"/>
    <n v="178.6"/>
    <n v="172.8"/>
    <n v="176.5"/>
    <n v="2292.6999999999998"/>
    <n v="546.29999999999995"/>
    <n v="367.7"/>
  </r>
  <r>
    <x v="0"/>
    <x v="10"/>
    <x v="1"/>
    <x v="248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m/>
    <n v="173.5"/>
    <n v="181.6"/>
    <n v="178.6"/>
    <n v="186.6"/>
    <n v="169"/>
    <n v="172.8"/>
    <n v="178.5"/>
    <n v="180.7"/>
    <n v="177.9"/>
    <n v="178"/>
    <n v="2265.6999999999998"/>
    <n v="566.6"/>
    <n v="371.1"/>
  </r>
  <r>
    <x v="1"/>
    <x v="10"/>
    <x v="1"/>
    <x v="249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73.5"/>
    <n v="182.8"/>
    <n v="169.2"/>
    <n v="180.8"/>
    <n v="159.80000000000001"/>
    <n v="168.4"/>
    <n v="172.5"/>
    <n v="181.4"/>
    <n v="170"/>
    <n v="176.3"/>
    <n v="2303.1999999999998"/>
    <n v="525.5"/>
    <n v="371.1"/>
  </r>
  <r>
    <x v="2"/>
    <x v="10"/>
    <x v="1"/>
    <x v="250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73.5"/>
    <n v="182.1"/>
    <n v="174.2"/>
    <n v="184.4"/>
    <n v="164.2"/>
    <n v="170.3"/>
    <n v="175"/>
    <n v="181"/>
    <n v="174.1"/>
    <n v="177.2"/>
    <n v="2279.1"/>
    <n v="550"/>
    <n v="369.8"/>
  </r>
  <r>
    <x v="0"/>
    <x v="10"/>
    <x v="2"/>
    <x v="251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m/>
    <n v="173.5"/>
    <n v="181.4"/>
    <n v="178.6"/>
    <n v="186.6"/>
    <n v="169"/>
    <n v="172.8"/>
    <n v="178.5"/>
    <n v="180.7"/>
    <n v="177.9"/>
    <n v="178"/>
    <n v="2265.8000000000002"/>
    <n v="566.6"/>
    <n v="371.20000000000005"/>
  </r>
  <r>
    <x v="1"/>
    <x v="10"/>
    <x v="2"/>
    <x v="249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73.5"/>
    <n v="182.6"/>
    <n v="169.2"/>
    <n v="180.8"/>
    <n v="159.80000000000001"/>
    <n v="168.4"/>
    <n v="172.5"/>
    <n v="181.5"/>
    <n v="170"/>
    <n v="176.3"/>
    <n v="2303.4"/>
    <n v="525.4"/>
    <n v="371.1"/>
  </r>
  <r>
    <x v="2"/>
    <x v="10"/>
    <x v="2"/>
    <x v="250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73.5"/>
    <n v="181.9"/>
    <n v="174.2"/>
    <n v="184.4"/>
    <n v="164.2"/>
    <n v="170.3"/>
    <n v="175"/>
    <n v="181"/>
    <n v="174.1"/>
    <n v="177.2"/>
    <n v="2279.1999999999998"/>
    <n v="549.9"/>
    <n v="369.8"/>
  </r>
  <r>
    <x v="0"/>
    <x v="10"/>
    <x v="3"/>
    <x v="246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m/>
    <n v="175.2"/>
    <n v="181.5"/>
    <n v="179.1"/>
    <n v="187.2"/>
    <n v="169.4"/>
    <n v="173.2"/>
    <n v="179.4"/>
    <n v="183.8"/>
    <n v="178.9"/>
    <n v="178.8"/>
    <n v="2274.1999999999998"/>
    <n v="568.20000000000005"/>
    <n v="372.7"/>
  </r>
  <r>
    <x v="1"/>
    <x v="10"/>
    <x v="3"/>
    <x v="252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75.2"/>
    <n v="182.1"/>
    <n v="169.6"/>
    <n v="181.5"/>
    <n v="160.1"/>
    <n v="168.8"/>
    <n v="174.2"/>
    <n v="184.4"/>
    <n v="170.9"/>
    <n v="177.4"/>
    <n v="2317.7000000000003"/>
    <n v="527.6"/>
    <n v="372.3"/>
  </r>
  <r>
    <x v="2"/>
    <x v="10"/>
    <x v="3"/>
    <x v="247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75.2"/>
    <n v="181.7"/>
    <n v="174.6"/>
    <n v="185"/>
    <n v="164.5"/>
    <n v="170.7"/>
    <n v="176.4"/>
    <n v="184"/>
    <n v="175"/>
    <n v="178.1"/>
    <n v="2289.6000000000004"/>
    <n v="551.79999999999995"/>
    <n v="371.29999999999995"/>
  </r>
  <r>
    <x v="0"/>
    <x v="10"/>
    <x v="4"/>
    <x v="253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m/>
    <n v="175.6"/>
    <n v="182.5"/>
    <n v="179.8"/>
    <n v="187.8"/>
    <n v="169.7"/>
    <n v="173.8"/>
    <n v="180.3"/>
    <n v="184.9"/>
    <n v="179.5"/>
    <n v="179.8"/>
    <n v="2290.7000000000007"/>
    <n v="569.90000000000009"/>
    <n v="373.70000000000005"/>
  </r>
  <r>
    <x v="1"/>
    <x v="10"/>
    <x v="4"/>
    <x v="249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75.6"/>
    <n v="183.4"/>
    <n v="170.1"/>
    <n v="182.2"/>
    <n v="160.4"/>
    <n v="169.2"/>
    <n v="174.8"/>
    <n v="185.6"/>
    <n v="171.6"/>
    <n v="178.2"/>
    <n v="2335.1"/>
    <n v="528.70000000000005"/>
    <n v="373.4"/>
  </r>
  <r>
    <x v="2"/>
    <x v="10"/>
    <x v="4"/>
    <x v="254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75.6"/>
    <n v="182.8"/>
    <n v="175.2"/>
    <n v="185.7"/>
    <n v="164.8"/>
    <n v="171.2"/>
    <n v="177.1"/>
    <n v="185.2"/>
    <n v="175.7"/>
    <n v="179.1"/>
    <n v="2306.9"/>
    <n v="553.20000000000005"/>
    <n v="372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2013"/>
    <s v="January"/>
    <n v="1371.6999999999998"/>
    <n v="104"/>
    <n v="309.60000000000002"/>
    <n v="208.5"/>
    <n v="735.50000000000011"/>
    <n v="1"/>
    <d v="2013-01-01T00:00:00"/>
    <x v="0"/>
  </r>
  <r>
    <n v="2013"/>
    <s v="January"/>
    <n v="1376.4"/>
    <n v="104.1"/>
    <n v="309.2"/>
    <n v="208.10000000000002"/>
    <n v="732.7"/>
    <n v="1"/>
    <d v="2013-01-01T00:00:00"/>
    <x v="0"/>
  </r>
  <r>
    <n v="2013"/>
    <s v="January"/>
    <n v="1373.3000000000002"/>
    <n v="104"/>
    <n v="309.39999999999998"/>
    <n v="208.2"/>
    <n v="734.4"/>
    <n v="1"/>
    <d v="2013-01-01T00:00:00"/>
    <x v="0"/>
  </r>
  <r>
    <n v="2013"/>
    <s v="February"/>
    <n v="1380.3999999999999"/>
    <n v="104.4"/>
    <n v="310.70000000000005"/>
    <n v="209.6"/>
    <n v="738.5"/>
    <n v="2"/>
    <d v="2013-02-01T00:00:00"/>
    <x v="0"/>
  </r>
  <r>
    <n v="2013"/>
    <s v="February"/>
    <n v="1390.6000000000001"/>
    <n v="104.7"/>
    <n v="309.8"/>
    <n v="209.3"/>
    <n v="736.69999999999993"/>
    <n v="2"/>
    <d v="2013-02-01T00:00:00"/>
    <x v="0"/>
  </r>
  <r>
    <n v="2013"/>
    <s v="February"/>
    <n v="1384.2"/>
    <n v="104.5"/>
    <n v="310.3"/>
    <n v="209.3"/>
    <n v="738"/>
    <n v="2"/>
    <d v="2013-02-01T00:00:00"/>
    <x v="0"/>
  </r>
  <r>
    <n v="2013"/>
    <s v="March"/>
    <n v="1382.2"/>
    <n v="104.7"/>
    <n v="310.8"/>
    <n v="210.5"/>
    <n v="741"/>
    <n v="3"/>
    <d v="2013-03-01T00:00:00"/>
    <x v="0"/>
  </r>
  <r>
    <n v="2013"/>
    <s v="March"/>
    <n v="1386.8"/>
    <n v="105.2"/>
    <n v="310.2"/>
    <n v="210.3"/>
    <n v="740.5"/>
    <n v="3"/>
    <d v="2013-03-01T00:00:00"/>
    <x v="0"/>
  </r>
  <r>
    <n v="2013"/>
    <s v="March"/>
    <n v="1384.0000000000002"/>
    <n v="104.9"/>
    <n v="310.5"/>
    <n v="210.3"/>
    <n v="740.9"/>
    <n v="3"/>
    <d v="2013-03-01T00:00:00"/>
    <x v="0"/>
  </r>
  <r>
    <n v="2013"/>
    <s v="April"/>
    <n v="1385.8"/>
    <n v="105.1"/>
    <n v="311.8"/>
    <n v="211.6"/>
    <n v="741.30000000000007"/>
    <n v="4"/>
    <d v="2013-04-01T00:00:00"/>
    <x v="0"/>
  </r>
  <r>
    <n v="2013"/>
    <s v="April"/>
    <n v="1397.6999999999998"/>
    <n v="105.7"/>
    <n v="312.10000000000002"/>
    <n v="212.5"/>
    <n v="741.80000000000007"/>
    <n v="4"/>
    <d v="2013-04-01T00:00:00"/>
    <x v="0"/>
  </r>
  <r>
    <n v="2013"/>
    <s v="April"/>
    <n v="1390.2"/>
    <n v="105.3"/>
    <n v="312"/>
    <n v="211.7"/>
    <n v="741.59999999999991"/>
    <n v="4"/>
    <d v="2013-04-01T00:00:00"/>
    <x v="0"/>
  </r>
  <r>
    <n v="2013"/>
    <s v="May"/>
    <n v="1394"/>
    <n v="105.7"/>
    <n v="313.5"/>
    <n v="213.1"/>
    <n v="743.09999999999991"/>
    <n v="5"/>
    <d v="2013-05-01T00:00:00"/>
    <x v="0"/>
  </r>
  <r>
    <n v="2013"/>
    <s v="May"/>
    <n v="1417.1999999999998"/>
    <n v="106.2"/>
    <n v="313.39999999999998"/>
    <n v="214.39999999999998"/>
    <n v="742"/>
    <n v="5"/>
    <d v="2013-05-01T00:00:00"/>
    <x v="0"/>
  </r>
  <r>
    <n v="2013"/>
    <s v="May"/>
    <n v="1402.1999999999998"/>
    <n v="105.9"/>
    <n v="313.5"/>
    <n v="213.39999999999998"/>
    <n v="742.59999999999991"/>
    <n v="5"/>
    <d v="2013-05-01T00:00:00"/>
    <x v="0"/>
  </r>
  <r>
    <n v="2013"/>
    <s v="June"/>
    <n v="1420"/>
    <n v="106.3"/>
    <n v="321.60000000000002"/>
    <n v="214.6"/>
    <n v="748.5"/>
    <n v="6"/>
    <d v="2013-06-01T00:00:00"/>
    <x v="0"/>
  </r>
  <r>
    <n v="2013"/>
    <s v="June"/>
    <n v="1464.6000000000001"/>
    <n v="106.5"/>
    <n v="322.7"/>
    <n v="216.10000000000002"/>
    <n v="747.6"/>
    <n v="6"/>
    <d v="2013-06-01T00:00:00"/>
    <x v="0"/>
  </r>
  <r>
    <n v="2013"/>
    <s v="June"/>
    <n v="1436"/>
    <n v="106.4"/>
    <n v="322.29999999999995"/>
    <n v="214.9"/>
    <n v="748.19999999999993"/>
    <n v="6"/>
    <d v="2013-06-01T00:00:00"/>
    <x v="0"/>
  </r>
  <r>
    <n v="2013"/>
    <s v="July"/>
    <n v="1445.8999999999996"/>
    <n v="106.9"/>
    <n v="325"/>
    <n v="216.2"/>
    <n v="754.4"/>
    <n v="7"/>
    <d v="2013-07-01T00:00:00"/>
    <x v="0"/>
  </r>
  <r>
    <n v="2013"/>
    <s v="July"/>
    <n v="1489.4"/>
    <n v="107.1"/>
    <n v="326.39999999999998"/>
    <n v="217.60000000000002"/>
    <n v="753"/>
    <n v="7"/>
    <d v="2013-07-01T00:00:00"/>
    <x v="0"/>
  </r>
  <r>
    <n v="2013"/>
    <s v="July"/>
    <n v="1461.3999999999999"/>
    <n v="107"/>
    <n v="326"/>
    <n v="216.39999999999998"/>
    <n v="753.99999999999989"/>
    <n v="7"/>
    <d v="2013-07-01T00:00:00"/>
    <x v="0"/>
  </r>
  <r>
    <n v="2013"/>
    <s v="August"/>
    <n v="1462.5"/>
    <n v="107.5"/>
    <n v="327.5"/>
    <n v="217.5"/>
    <n v="761.6"/>
    <n v="8"/>
    <d v="2013-08-01T00:00:00"/>
    <x v="0"/>
  </r>
  <r>
    <n v="2013"/>
    <s v="August"/>
    <n v="1506.1000000000001"/>
    <n v="107.6"/>
    <n v="329"/>
    <n v="218.9"/>
    <n v="760.19999999999993"/>
    <n v="8"/>
    <d v="2013-08-01T00:00:00"/>
    <x v="0"/>
  </r>
  <r>
    <n v="2013"/>
    <s v="August"/>
    <n v="1477.4"/>
    <n v="107.5"/>
    <n v="328.5"/>
    <n v="217.8"/>
    <n v="761.09999999999991"/>
    <n v="8"/>
    <d v="2013-08-01T00:00:00"/>
    <x v="0"/>
  </r>
  <r>
    <n v="2013"/>
    <s v="September"/>
    <n v="1488.5000000000002"/>
    <n v="108.3"/>
    <n v="330.6"/>
    <n v="219.4"/>
    <n v="770.90000000000009"/>
    <n v="9"/>
    <d v="2013-09-01T00:00:00"/>
    <x v="0"/>
  </r>
  <r>
    <n v="2013"/>
    <s v="September"/>
    <n v="1500.4"/>
    <n v="107.9"/>
    <n v="330.4"/>
    <n v="220.3"/>
    <n v="767.8"/>
    <n v="9"/>
    <d v="2013-09-01T00:00:00"/>
    <x v="0"/>
  </r>
  <r>
    <n v="2013"/>
    <s v="September"/>
    <n v="1491.6999999999998"/>
    <n v="108.1"/>
    <n v="330.79999999999995"/>
    <n v="219.5"/>
    <n v="769.8"/>
    <n v="9"/>
    <d v="2013-09-01T00:00:00"/>
    <x v="0"/>
  </r>
  <r>
    <n v="2013"/>
    <s v="October"/>
    <n v="1508"/>
    <n v="108.9"/>
    <n v="332.3"/>
    <n v="220.5"/>
    <n v="775.59999999999991"/>
    <n v="10"/>
    <d v="2013-10-01T00:00:00"/>
    <x v="0"/>
  </r>
  <r>
    <n v="2013"/>
    <s v="October"/>
    <n v="1517.1999999999998"/>
    <n v="108.2"/>
    <n v="331.5"/>
    <n v="221.5"/>
    <n v="770.8"/>
    <n v="10"/>
    <d v="2013-10-01T00:00:00"/>
    <x v="0"/>
  </r>
  <r>
    <n v="2013"/>
    <s v="October"/>
    <n v="1510.2000000000003"/>
    <n v="108.6"/>
    <n v="332.2"/>
    <n v="220.6"/>
    <n v="773.6"/>
    <n v="10"/>
    <d v="2013-10-01T00:00:00"/>
    <x v="0"/>
  </r>
  <r>
    <n v="2013"/>
    <s v="November "/>
    <n v="1536.8"/>
    <n v="109.7"/>
    <n v="334.7"/>
    <n v="221.5"/>
    <n v="781"/>
    <n v="11"/>
    <d v="2013-11-01T00:00:00"/>
    <x v="0"/>
  </r>
  <r>
    <n v="2013"/>
    <s v="November"/>
    <n v="1544.6"/>
    <n v="108.6"/>
    <n v="332.4"/>
    <n v="222.6"/>
    <n v="774.7"/>
    <n v="11"/>
    <d v="2013-11-01T00:00:00"/>
    <x v="0"/>
  </r>
  <r>
    <n v="2013"/>
    <s v="November"/>
    <n v="1538.8"/>
    <n v="109.3"/>
    <n v="333.9"/>
    <n v="221.7"/>
    <n v="778.30000000000007"/>
    <n v="11"/>
    <d v="2013-11-01T00:00:00"/>
    <x v="0"/>
  </r>
  <r>
    <n v="2013"/>
    <s v="December"/>
    <n v="1509"/>
    <n v="110.1"/>
    <n v="335.1"/>
    <n v="222.8"/>
    <n v="785.5"/>
    <n v="12"/>
    <d v="2013-12-01T00:00:00"/>
    <x v="0"/>
  </r>
  <r>
    <n v="2013"/>
    <s v="December"/>
    <n v="1504.4"/>
    <n v="109"/>
    <n v="332.5"/>
    <n v="223.9"/>
    <n v="777.30000000000007"/>
    <n v="12"/>
    <d v="2013-12-01T00:00:00"/>
    <x v="0"/>
  </r>
  <r>
    <n v="2013"/>
    <s v="December"/>
    <n v="1507.3000000000002"/>
    <n v="109.7"/>
    <n v="334.1"/>
    <n v="223"/>
    <n v="782.09999999999991"/>
    <n v="12"/>
    <d v="2013-12-01T00:00:00"/>
    <x v="0"/>
  </r>
  <r>
    <n v="2014"/>
    <s v="January"/>
    <n v="1486.6000000000001"/>
    <n v="110.6"/>
    <n v="336.4"/>
    <n v="223.6"/>
    <n v="789.19999999999993"/>
    <n v="1"/>
    <d v="2014-01-01T00:00:00"/>
    <x v="0"/>
  </r>
  <r>
    <n v="2014"/>
    <s v="January"/>
    <n v="1484.3"/>
    <n v="109.7"/>
    <n v="334.1"/>
    <n v="225.5"/>
    <n v="781.59999999999991"/>
    <n v="1"/>
    <d v="2014-01-01T00:00:00"/>
    <x v="0"/>
  </r>
  <r>
    <n v="2014"/>
    <s v="January"/>
    <n v="1485.7999999999997"/>
    <n v="110.3"/>
    <n v="335.4"/>
    <n v="224.2"/>
    <n v="786.2"/>
    <n v="1"/>
    <d v="2014-01-01T00:00:00"/>
    <x v="0"/>
  </r>
  <r>
    <n v="2014"/>
    <s v="February"/>
    <n v="1482.2"/>
    <n v="110.9"/>
    <n v="337.7"/>
    <n v="224.10000000000002"/>
    <n v="791.6"/>
    <n v="2"/>
    <d v="2014-02-01T00:00:00"/>
    <x v="0"/>
  </r>
  <r>
    <n v="2014"/>
    <s v="February"/>
    <n v="1476"/>
    <n v="110.4"/>
    <n v="335.2"/>
    <n v="226.5"/>
    <n v="785.3"/>
    <n v="2"/>
    <d v="2014-02-01T00:00:00"/>
    <x v="0"/>
  </r>
  <r>
    <n v="2014"/>
    <s v="February"/>
    <n v="1480.1"/>
    <n v="110.7"/>
    <n v="336.7"/>
    <n v="224.8"/>
    <n v="789.1"/>
    <n v="2"/>
    <d v="2014-02-01T00:00:00"/>
    <x v="0"/>
  </r>
  <r>
    <n v="2014"/>
    <s v="March"/>
    <n v="1491.4"/>
    <n v="111.4"/>
    <n v="339"/>
    <n v="224.8"/>
    <n v="794.4"/>
    <n v="3"/>
    <d v="2014-03-01T00:00:00"/>
    <x v="0"/>
  </r>
  <r>
    <n v="2014"/>
    <s v="March"/>
    <n v="1483"/>
    <n v="110.8"/>
    <n v="335.90000000000003"/>
    <n v="227.60000000000002"/>
    <n v="788.3"/>
    <n v="3"/>
    <d v="2014-03-01T00:00:00"/>
    <x v="0"/>
  </r>
  <r>
    <n v="2014"/>
    <s v="March"/>
    <n v="1488.2999999999997"/>
    <n v="111.2"/>
    <n v="337.7"/>
    <n v="225.8"/>
    <n v="791.8"/>
    <n v="3"/>
    <d v="2014-03-01T00:00:00"/>
    <x v="0"/>
  </r>
  <r>
    <n v="2014"/>
    <s v="April"/>
    <n v="1504.1000000000001"/>
    <n v="111.8"/>
    <n v="340.3"/>
    <n v="225.9"/>
    <n v="797.3"/>
    <n v="4"/>
    <d v="2014-04-01T00:00:00"/>
    <x v="0"/>
  </r>
  <r>
    <n v="2014"/>
    <s v="April"/>
    <n v="1504.0000000000002"/>
    <n v="111"/>
    <n v="337.3"/>
    <n v="228.8"/>
    <n v="789.6"/>
    <n v="4"/>
    <d v="2014-04-01T00:00:00"/>
    <x v="0"/>
  </r>
  <r>
    <n v="2014"/>
    <s v="April"/>
    <n v="1504.1"/>
    <n v="111.5"/>
    <n v="339.1"/>
    <n v="226.9"/>
    <n v="794.30000000000007"/>
    <n v="4"/>
    <d v="2014-04-01T00:00:00"/>
    <x v="0"/>
  </r>
  <r>
    <n v="2014"/>
    <s v="May"/>
    <n v="1513.8999999999999"/>
    <n v="112.1"/>
    <n v="340.79999999999995"/>
    <n v="227.2"/>
    <n v="800.19999999999993"/>
    <n v="5"/>
    <d v="2014-05-01T00:00:00"/>
    <x v="0"/>
  </r>
  <r>
    <n v="2014"/>
    <s v="May"/>
    <n v="1525.3000000000002"/>
    <n v="111.2"/>
    <n v="338.29999999999995"/>
    <n v="229.8"/>
    <n v="792.3"/>
    <n v="5"/>
    <d v="2014-05-01T00:00:00"/>
    <x v="0"/>
  </r>
  <r>
    <n v="2014"/>
    <s v="May"/>
    <n v="1518.5000000000005"/>
    <n v="111.8"/>
    <n v="339.8"/>
    <n v="228"/>
    <n v="797.09999999999991"/>
    <n v="5"/>
    <d v="2014-05-01T00:00:00"/>
    <x v="0"/>
  </r>
  <r>
    <n v="2014"/>
    <s v="June"/>
    <n v="1525.6999999999998"/>
    <n v="112.8"/>
    <n v="342.6"/>
    <n v="228.7"/>
    <n v="803.7"/>
    <n v="6"/>
    <d v="2014-06-01T00:00:00"/>
    <x v="0"/>
  </r>
  <r>
    <n v="2014"/>
    <s v="June"/>
    <n v="1547"/>
    <n v="111.4"/>
    <n v="340.20000000000005"/>
    <n v="230.8"/>
    <n v="794.00000000000011"/>
    <n v="6"/>
    <d v="2014-06-01T00:00:00"/>
    <x v="0"/>
  </r>
  <r>
    <n v="2014"/>
    <s v="June"/>
    <n v="1533.7000000000003"/>
    <n v="112.3"/>
    <n v="341.90000000000003"/>
    <n v="229.39999999999998"/>
    <n v="799.69999999999982"/>
    <n v="6"/>
    <d v="2014-06-01T00:00:00"/>
    <x v="0"/>
  </r>
  <r>
    <n v="2014"/>
    <s v="July"/>
    <n v="1563.2"/>
    <n v="113.4"/>
    <n v="345.6"/>
    <n v="229.8"/>
    <n v="809.80000000000007"/>
    <n v="7"/>
    <d v="2014-07-01T00:00:00"/>
    <x v="0"/>
  </r>
  <r>
    <n v="2014"/>
    <s v="July"/>
    <n v="1599.5"/>
    <n v="111.5"/>
    <n v="344.2"/>
    <n v="233.4"/>
    <n v="800.1"/>
    <n v="7"/>
    <d v="2014-07-01T00:00:00"/>
    <x v="0"/>
  </r>
  <r>
    <n v="2014"/>
    <s v="July"/>
    <n v="1576.3"/>
    <n v="112.7"/>
    <n v="345.5"/>
    <n v="230.89999999999998"/>
    <n v="805.8"/>
    <n v="7"/>
    <d v="2014-07-01T00:00:00"/>
    <x v="0"/>
  </r>
  <r>
    <n v="2014"/>
    <s v="August"/>
    <n v="1582.2999999999997"/>
    <n v="114"/>
    <n v="347.1"/>
    <n v="231"/>
    <n v="812.4"/>
    <n v="8"/>
    <d v="2014-08-01T00:00:00"/>
    <x v="0"/>
  </r>
  <r>
    <n v="2014"/>
    <s v="August"/>
    <n v="1617"/>
    <n v="112.2"/>
    <n v="346.5"/>
    <n v="235.9"/>
    <n v="802.80000000000007"/>
    <n v="8"/>
    <d v="2014-08-01T00:00:00"/>
    <x v="0"/>
  </r>
  <r>
    <n v="2014"/>
    <s v="August"/>
    <n v="1594.4999999999998"/>
    <n v="113.3"/>
    <n v="347.5"/>
    <n v="232.5"/>
    <n v="808.4"/>
    <n v="8"/>
    <d v="2014-08-01T00:00:00"/>
    <x v="0"/>
  </r>
  <r>
    <n v="2014"/>
    <s v="September"/>
    <n v="1583.2"/>
    <n v="114.5"/>
    <n v="348.5"/>
    <n v="232.1"/>
    <n v="814.5"/>
    <n v="9"/>
    <d v="2014-09-01T00:00:00"/>
    <x v="0"/>
  </r>
  <r>
    <n v="2014"/>
    <s v="September"/>
    <n v="1593.7000000000003"/>
    <n v="112.3"/>
    <n v="347.9"/>
    <n v="237.7"/>
    <n v="802.40000000000009"/>
    <n v="9"/>
    <d v="2014-09-01T00:00:00"/>
    <x v="0"/>
  </r>
  <r>
    <n v="2014"/>
    <s v="September"/>
    <n v="1586.0999999999997"/>
    <n v="113.7"/>
    <n v="349"/>
    <n v="233.89999999999998"/>
    <n v="809.30000000000007"/>
    <n v="9"/>
    <d v="2014-09-01T00:00:00"/>
    <x v="0"/>
  </r>
  <r>
    <n v="2014"/>
    <s v="October"/>
    <n v="1581.1999999999998"/>
    <n v="115.3"/>
    <n v="350"/>
    <n v="233"/>
    <n v="818.69999999999993"/>
    <n v="10"/>
    <d v="2014-10-01T00:00:00"/>
    <x v="0"/>
  </r>
  <r>
    <n v="2014"/>
    <s v="October"/>
    <n v="1587.5"/>
    <n v="112.6"/>
    <n v="348.9"/>
    <n v="237.89999999999998"/>
    <n v="804.00000000000011"/>
    <n v="10"/>
    <d v="2014-10-01T00:00:00"/>
    <x v="0"/>
  </r>
  <r>
    <n v="2014"/>
    <s v="October"/>
    <n v="1582.7"/>
    <n v="114.3"/>
    <n v="350.2"/>
    <n v="234.39999999999998"/>
    <n v="812.6"/>
    <n v="10"/>
    <d v="2014-10-01T00:00:00"/>
    <x v="0"/>
  </r>
  <r>
    <n v="2014"/>
    <s v="November"/>
    <n v="1582"/>
    <n v="115.9"/>
    <n v="351.59999999999997"/>
    <n v="234.1"/>
    <n v="819.7"/>
    <n v="11"/>
    <d v="2014-11-01T00:00:00"/>
    <x v="0"/>
  </r>
  <r>
    <n v="2014"/>
    <s v="November"/>
    <n v="1587.8"/>
    <n v="113"/>
    <n v="350"/>
    <n v="239.8"/>
    <n v="804.30000000000007"/>
    <n v="11"/>
    <d v="2014-11-01T00:00:00"/>
    <x v="0"/>
  </r>
  <r>
    <n v="2014"/>
    <s v="November"/>
    <n v="1583.2"/>
    <n v="114.8"/>
    <n v="351.6"/>
    <n v="235.8"/>
    <n v="813.1"/>
    <n v="11"/>
    <d v="2014-11-01T00:00:00"/>
    <x v="0"/>
  </r>
  <r>
    <n v="2014"/>
    <s v="December"/>
    <n v="1569.6"/>
    <n v="116.2"/>
    <n v="351.6"/>
    <n v="235"/>
    <n v="821"/>
    <n v="12"/>
    <d v="2014-12-01T00:00:00"/>
    <x v="0"/>
  </r>
  <r>
    <n v="2014"/>
    <s v="December"/>
    <n v="1577.1999999999998"/>
    <n v="113.2"/>
    <n v="350.2"/>
    <n v="240.7"/>
    <n v="805.9"/>
    <n v="12"/>
    <d v="2014-12-01T00:00:00"/>
    <x v="0"/>
  </r>
  <r>
    <n v="2014"/>
    <s v="December"/>
    <n v="1571.6999999999998"/>
    <n v="115.1"/>
    <n v="351.7"/>
    <n v="236.9"/>
    <n v="814.39999999999986"/>
    <n v="12"/>
    <d v="2014-12-01T00:00:00"/>
    <x v="0"/>
  </r>
  <r>
    <n v="2015"/>
    <s v="January"/>
    <n v="1568.1"/>
    <n v="116.6"/>
    <n v="353.9"/>
    <n v="236.7"/>
    <n v="824.6"/>
    <n v="1"/>
    <d v="2015-01-01T00:00:00"/>
    <x v="0"/>
  </r>
  <r>
    <n v="2015"/>
    <s v="January"/>
    <n v="1574.8999999999999"/>
    <n v="113.7"/>
    <n v="351.5"/>
    <n v="242"/>
    <n v="807.19999999999993"/>
    <n v="1"/>
    <d v="2015-01-01T00:00:00"/>
    <x v="0"/>
  </r>
  <r>
    <n v="2015"/>
    <s v="January"/>
    <n v="1569.3"/>
    <n v="115.5"/>
    <n v="353.5"/>
    <n v="238.3"/>
    <n v="817.1"/>
    <n v="1"/>
    <d v="2015-01-01T00:00:00"/>
    <x v="0"/>
  </r>
  <r>
    <n v="2015"/>
    <s v="February"/>
    <n v="1570.5999999999997"/>
    <n v="117.7"/>
    <n v="356.8"/>
    <n v="239"/>
    <n v="829.4"/>
    <n v="2"/>
    <d v="2015-02-01T00:00:00"/>
    <x v="0"/>
  </r>
  <r>
    <n v="2015"/>
    <s v="February"/>
    <n v="1571.1000000000001"/>
    <n v="114.1"/>
    <n v="352.5"/>
    <n v="243"/>
    <n v="807.80000000000007"/>
    <n v="2"/>
    <d v="2015-02-01T00:00:00"/>
    <x v="0"/>
  </r>
  <r>
    <n v="2015"/>
    <s v="February"/>
    <n v="1569.3999999999996"/>
    <n v="116.3"/>
    <n v="355.5"/>
    <n v="240.10000000000002"/>
    <n v="819.90000000000009"/>
    <n v="2"/>
    <d v="2015-02-01T00:00:00"/>
    <x v="0"/>
  </r>
  <r>
    <n v="2015"/>
    <s v="March"/>
    <n v="1571.5"/>
    <n v="118.2"/>
    <n v="358.6"/>
    <n v="240.2"/>
    <n v="832.49999999999989"/>
    <n v="3"/>
    <d v="2015-03-01T00:00:00"/>
    <x v="0"/>
  </r>
  <r>
    <n v="2015"/>
    <s v="March"/>
    <n v="1568.0000000000002"/>
    <n v="114.3"/>
    <n v="353.6"/>
    <n v="244.20000000000002"/>
    <n v="810.99999999999989"/>
    <n v="3"/>
    <d v="2015-03-01T00:00:00"/>
    <x v="0"/>
  </r>
  <r>
    <n v="2015"/>
    <s v="March"/>
    <n v="1569.1"/>
    <n v="116.7"/>
    <n v="357"/>
    <n v="241.2"/>
    <n v="823.2"/>
    <n v="3"/>
    <d v="2015-03-01T00:00:00"/>
    <x v="0"/>
  </r>
  <r>
    <n v="2015"/>
    <s v="April"/>
    <n v="1577.2"/>
    <n v="118.6"/>
    <n v="360.3"/>
    <n v="241.9"/>
    <n v="836.1"/>
    <n v="4"/>
    <d v="2015-04-01T00:00:00"/>
    <x v="0"/>
  </r>
  <r>
    <n v="2015"/>
    <s v="April"/>
    <n v="1576.1"/>
    <n v="114.6"/>
    <n v="355.6"/>
    <n v="245.7"/>
    <n v="813.4"/>
    <n v="4"/>
    <d v="2015-04-01T00:00:00"/>
    <x v="0"/>
  </r>
  <r>
    <n v="2015"/>
    <s v="April"/>
    <n v="1575.7"/>
    <n v="117.1"/>
    <n v="358.9"/>
    <n v="242.8"/>
    <n v="826.2"/>
    <n v="4"/>
    <d v="2015-04-01T00:00:00"/>
    <x v="0"/>
  </r>
  <r>
    <n v="2015"/>
    <s v="May"/>
    <n v="1587.7"/>
    <n v="119.4"/>
    <n v="362"/>
    <n v="243.4"/>
    <n v="842.19999999999993"/>
    <n v="5"/>
    <d v="2015-05-01T00:00:00"/>
    <x v="0"/>
  </r>
  <r>
    <n v="2015"/>
    <s v="May"/>
    <n v="1598.9"/>
    <n v="114.9"/>
    <n v="356.5"/>
    <n v="247.3"/>
    <n v="818.5"/>
    <n v="5"/>
    <d v="2015-05-01T00:00:00"/>
    <x v="0"/>
  </r>
  <r>
    <n v="2015"/>
    <s v="May"/>
    <n v="1590.4"/>
    <n v="117.7"/>
    <n v="360.20000000000005"/>
    <n v="244.2"/>
    <n v="831.99999999999989"/>
    <n v="5"/>
    <d v="2015-05-01T00:00:00"/>
    <x v="0"/>
  </r>
  <r>
    <n v="2015"/>
    <s v="June"/>
    <n v="1617.8999999999999"/>
    <n v="120.4"/>
    <n v="363.6"/>
    <n v="246.1"/>
    <n v="849.4"/>
    <n v="6"/>
    <d v="2015-06-01T00:00:00"/>
    <x v="0"/>
  </r>
  <r>
    <n v="2015"/>
    <s v="June"/>
    <n v="1636.6"/>
    <n v="115.4"/>
    <n v="357.9"/>
    <n v="248.3"/>
    <n v="822.5"/>
    <n v="6"/>
    <d v="2015-06-01T00:00:00"/>
    <x v="0"/>
  </r>
  <r>
    <n v="2015"/>
    <s v="June"/>
    <n v="1623.5"/>
    <n v="118.5"/>
    <n v="361.9"/>
    <n v="246.1"/>
    <n v="837.9"/>
    <n v="6"/>
    <d v="2015-06-01T00:00:00"/>
    <x v="0"/>
  </r>
  <r>
    <n v="2015"/>
    <s v="July"/>
    <n v="1625.3"/>
    <n v="120.8"/>
    <n v="365.8"/>
    <n v="247.4"/>
    <n v="850.50000000000011"/>
    <n v="7"/>
    <d v="2015-07-01T00:00:00"/>
    <x v="0"/>
  </r>
  <r>
    <n v="2015"/>
    <s v="July"/>
    <n v="1642.8999999999999"/>
    <n v="116"/>
    <n v="360.6"/>
    <n v="249.7"/>
    <n v="823.1"/>
    <n v="7"/>
    <d v="2015-07-01T00:00:00"/>
    <x v="0"/>
  </r>
  <r>
    <n v="2015"/>
    <s v="July"/>
    <n v="1630.6000000000001"/>
    <n v="119"/>
    <n v="364.4"/>
    <n v="247.60000000000002"/>
    <n v="838.6"/>
    <n v="7"/>
    <d v="2015-07-01T00:00:00"/>
    <x v="0"/>
  </r>
  <r>
    <n v="2015"/>
    <s v="August"/>
    <n v="1646.6"/>
    <n v="121.1"/>
    <n v="368.29999999999995"/>
    <n v="248.6"/>
    <n v="852.80000000000007"/>
    <n v="8"/>
    <d v="2015-08-01T00:00:00"/>
    <x v="0"/>
  </r>
  <r>
    <n v="2015"/>
    <s v="August"/>
    <n v="1658.8999999999999"/>
    <n v="116.6"/>
    <n v="362.4"/>
    <n v="251.39999999999998"/>
    <n v="822.90000000000009"/>
    <n v="8"/>
    <d v="2015-08-01T00:00:00"/>
    <x v="0"/>
  </r>
  <r>
    <n v="2015"/>
    <s v="August"/>
    <n v="1649.6"/>
    <n v="119.4"/>
    <n v="366.6"/>
    <n v="249"/>
    <n v="839.90000000000009"/>
    <n v="8"/>
    <d v="2015-08-01T00:00:00"/>
    <x v="0"/>
  </r>
  <r>
    <n v="2015"/>
    <s v="September"/>
    <n v="1657.6000000000001"/>
    <n v="121.4"/>
    <n v="369.8"/>
    <n v="250.6"/>
    <n v="857.9"/>
    <n v="9"/>
    <d v="2015-09-01T00:00:00"/>
    <x v="0"/>
  </r>
  <r>
    <n v="2015"/>
    <s v="September"/>
    <n v="1664.8"/>
    <n v="117.1"/>
    <n v="363.2"/>
    <n v="252"/>
    <n v="824.40000000000009"/>
    <n v="9"/>
    <d v="2015-09-01T00:00:00"/>
    <x v="0"/>
  </r>
  <r>
    <n v="2015"/>
    <s v="September"/>
    <n v="1658.3000000000002"/>
    <n v="119.8"/>
    <n v="367.7"/>
    <n v="250.3"/>
    <n v="843.3"/>
    <n v="9"/>
    <d v="2015-09-01T00:00:00"/>
    <x v="0"/>
  </r>
  <r>
    <n v="2015"/>
    <s v="October"/>
    <n v="1674.6"/>
    <n v="122"/>
    <n v="371.9"/>
    <n v="251.6"/>
    <n v="861.30000000000007"/>
    <n v="10"/>
    <d v="2015-10-01T00:00:00"/>
    <x v="0"/>
  </r>
  <r>
    <n v="2015"/>
    <s v="October"/>
    <n v="1692.8000000000002"/>
    <n v="117.7"/>
    <n v="363.8"/>
    <n v="253"/>
    <n v="826.8"/>
    <n v="10"/>
    <d v="2015-10-01T00:00:00"/>
    <x v="0"/>
  </r>
  <r>
    <n v="2015"/>
    <s v="October"/>
    <n v="1678.9999999999998"/>
    <n v="120.4"/>
    <n v="369.1"/>
    <n v="251.2"/>
    <n v="846.3"/>
    <n v="10"/>
    <d v="2015-10-01T00:00:00"/>
    <x v="0"/>
  </r>
  <r>
    <n v="2015"/>
    <s v="November"/>
    <n v="1686.3"/>
    <n v="122.6"/>
    <n v="374.3"/>
    <n v="253.1"/>
    <n v="865.2"/>
    <n v="11"/>
    <d v="2015-11-01T00:00:00"/>
    <x v="0"/>
  </r>
  <r>
    <n v="2015"/>
    <s v="November"/>
    <n v="1708.4999999999998"/>
    <n v="118.1"/>
    <n v="364.6"/>
    <n v="255.5"/>
    <n v="828.69999999999993"/>
    <n v="11"/>
    <d v="2015-11-01T00:00:00"/>
    <x v="0"/>
  </r>
  <r>
    <n v="2015"/>
    <s v="November"/>
    <n v="1692.1"/>
    <n v="120.9"/>
    <n v="370.8"/>
    <n v="252.8"/>
    <n v="849.19999999999993"/>
    <n v="11"/>
    <d v="2015-11-01T00:00:00"/>
    <x v="0"/>
  </r>
  <r>
    <n v="2015"/>
    <s v="December"/>
    <n v="1682.3000000000002"/>
    <n v="123.1"/>
    <n v="373.70000000000005"/>
    <n v="254.7"/>
    <n v="866.8"/>
    <n v="12"/>
    <d v="2015-12-01T00:00:00"/>
    <x v="0"/>
  </r>
  <r>
    <n v="2015"/>
    <s v="December"/>
    <n v="1698.8"/>
    <n v="118.6"/>
    <n v="365"/>
    <n v="256.29999999999995"/>
    <n v="829.6"/>
    <n v="12"/>
    <d v="2015-12-01T00:00:00"/>
    <x v="0"/>
  </r>
  <r>
    <n v="2015"/>
    <s v="December"/>
    <n v="1686.1000000000001"/>
    <n v="121.4"/>
    <n v="370.6"/>
    <n v="254.1"/>
    <n v="850.6"/>
    <n v="12"/>
    <d v="2015-12-01T00:00:00"/>
    <x v="0"/>
  </r>
  <r>
    <n v="2016"/>
    <s v="January"/>
    <n v="1690.1000000000001"/>
    <n v="123.7"/>
    <n v="375.8"/>
    <n v="255"/>
    <n v="869.90000000000009"/>
    <n v="1"/>
    <d v="2016-01-01T00:00:00"/>
    <x v="0"/>
  </r>
  <r>
    <n v="2016"/>
    <s v="January"/>
    <n v="1701.4"/>
    <n v="119.1"/>
    <n v="366.70000000000005"/>
    <n v="258"/>
    <n v="831.8"/>
    <n v="1"/>
    <d v="2016-01-01T00:00:00"/>
    <x v="0"/>
  </r>
  <r>
    <n v="2016"/>
    <s v="January"/>
    <n v="1691.7"/>
    <n v="122"/>
    <n v="372.40000000000003"/>
    <n v="255"/>
    <n v="853.19999999999993"/>
    <n v="1"/>
    <d v="2016-01-01T00:00:00"/>
    <x v="0"/>
  </r>
  <r>
    <n v="2016"/>
    <s v="February"/>
    <n v="1682.6"/>
    <n v="124.3"/>
    <n v="379"/>
    <n v="256.7"/>
    <n v="875.8"/>
    <n v="2"/>
    <d v="2016-02-01T00:00:00"/>
    <x v="0"/>
  </r>
  <r>
    <n v="2016"/>
    <s v="February"/>
    <n v="1676.1"/>
    <n v="119.5"/>
    <n v="366.7"/>
    <n v="258.8"/>
    <n v="835.90000000000009"/>
    <n v="2"/>
    <d v="2016-02-01T00:00:00"/>
    <x v="0"/>
  </r>
  <r>
    <n v="2016"/>
    <s v="February"/>
    <n v="1678.1"/>
    <n v="122.5"/>
    <n v="374.1"/>
    <n v="256.2"/>
    <n v="858.6"/>
    <n v="2"/>
    <d v="2016-02-01T00:00:00"/>
    <x v="0"/>
  </r>
  <r>
    <n v="2016"/>
    <s v="March"/>
    <n v="1682.7000000000003"/>
    <n v="124.8"/>
    <n v="379.4"/>
    <n v="257.5"/>
    <n v="878.2"/>
    <n v="3"/>
    <d v="2016-03-01T00:00:00"/>
    <x v="0"/>
  </r>
  <r>
    <n v="2016"/>
    <s v="March"/>
    <n v="1667.6000000000001"/>
    <n v="119.7"/>
    <n v="366.1"/>
    <n v="259.7"/>
    <n v="837.4"/>
    <n v="3"/>
    <d v="2016-03-01T00:00:00"/>
    <x v="0"/>
  </r>
  <r>
    <n v="2016"/>
    <s v="March"/>
    <n v="1675.2"/>
    <n v="122.9"/>
    <n v="374.20000000000005"/>
    <n v="257.10000000000002"/>
    <n v="860.49999999999989"/>
    <n v="3"/>
    <d v="2016-03-01T00:00:00"/>
    <x v="0"/>
  </r>
  <r>
    <n v="2016"/>
    <s v="April"/>
    <n v="1701.6000000000004"/>
    <n v="125.2"/>
    <n v="380.5"/>
    <n v="258.7"/>
    <n v="882.5"/>
    <n v="4"/>
    <d v="2016-04-01T00:00:00"/>
    <x v="0"/>
  </r>
  <r>
    <n v="2016"/>
    <s v="April"/>
    <n v="1706.3"/>
    <n v="120"/>
    <n v="367.79999999999995"/>
    <n v="261"/>
    <n v="841.70000000000016"/>
    <n v="4"/>
    <d v="2016-04-01T00:00:00"/>
    <x v="0"/>
  </r>
  <r>
    <n v="2016"/>
    <s v="April"/>
    <n v="1701.3"/>
    <n v="123.2"/>
    <n v="375.59999999999997"/>
    <n v="258.2"/>
    <n v="864.90000000000009"/>
    <n v="4"/>
    <d v="2016-04-01T00:00:00"/>
    <x v="0"/>
  </r>
  <r>
    <n v="2016"/>
    <s v="May"/>
    <n v="1723.6999999999998"/>
    <n v="125.8"/>
    <n v="382.5"/>
    <n v="259.60000000000002"/>
    <n v="887.1"/>
    <n v="5"/>
    <d v="2016-05-01T00:00:00"/>
    <x v="0"/>
  </r>
  <r>
    <n v="2016"/>
    <s v="May"/>
    <n v="1746.7999999999997"/>
    <n v="120.3"/>
    <n v="369"/>
    <n v="262"/>
    <n v="845.2"/>
    <n v="5"/>
    <d v="2016-05-01T00:00:00"/>
    <x v="0"/>
  </r>
  <r>
    <n v="2016"/>
    <s v="May"/>
    <n v="1730.4"/>
    <n v="123.7"/>
    <n v="377.2"/>
    <n v="259.2"/>
    <n v="869.1"/>
    <n v="5"/>
    <d v="2016-05-01T00:00:00"/>
    <x v="0"/>
  </r>
  <r>
    <n v="2016"/>
    <s v="June"/>
    <n v="1748.6"/>
    <n v="126.2"/>
    <n v="383.7"/>
    <n v="261.29999999999995"/>
    <n v="892.29999999999984"/>
    <n v="6"/>
    <d v="2016-06-01T00:00:00"/>
    <x v="0"/>
  </r>
  <r>
    <n v="2016"/>
    <s v="June"/>
    <n v="1787.0000000000002"/>
    <n v="120.6"/>
    <n v="370.3"/>
    <n v="262.60000000000002"/>
    <n v="849.19999999999993"/>
    <n v="6"/>
    <d v="2016-06-01T00:00:00"/>
    <x v="0"/>
  </r>
  <r>
    <n v="2016"/>
    <s v="June"/>
    <n v="1760.6"/>
    <n v="124.1"/>
    <n v="378.5"/>
    <n v="260.39999999999998"/>
    <n v="873.6"/>
    <n v="6"/>
    <d v="2016-06-01T00:00:00"/>
    <x v="0"/>
  </r>
  <r>
    <n v="2016"/>
    <s v="July"/>
    <n v="1770.2999999999997"/>
    <n v="126.7"/>
    <n v="385.4"/>
    <n v="263.2"/>
    <n v="896.99999999999989"/>
    <n v="7"/>
    <d v="2016-07-01T00:00:00"/>
    <x v="0"/>
  </r>
  <r>
    <n v="2016"/>
    <s v="July"/>
    <n v="1811.5000000000002"/>
    <n v="120.9"/>
    <n v="372.70000000000005"/>
    <n v="263.2"/>
    <n v="851"/>
    <n v="7"/>
    <d v="2016-07-01T00:00:00"/>
    <x v="0"/>
  </r>
  <r>
    <n v="2016"/>
    <s v="July"/>
    <n v="1783.5"/>
    <n v="124.5"/>
    <n v="380.6"/>
    <n v="261.70000000000005"/>
    <n v="877"/>
    <n v="7"/>
    <d v="2016-07-01T00:00:00"/>
    <x v="0"/>
  </r>
  <r>
    <n v="2016"/>
    <s v="August"/>
    <n v="1777.4999999999998"/>
    <n v="127"/>
    <n v="388.29999999999995"/>
    <n v="264.39999999999998"/>
    <n v="900.7"/>
    <n v="8"/>
    <d v="2016-08-01T00:00:00"/>
    <x v="0"/>
  </r>
  <r>
    <n v="2016"/>
    <s v="August"/>
    <n v="1783.9999999999995"/>
    <n v="121.2"/>
    <n v="373.5"/>
    <n v="264.2"/>
    <n v="852.09999999999991"/>
    <n v="8"/>
    <d v="2016-08-01T00:00:00"/>
    <x v="0"/>
  </r>
  <r>
    <n v="2016"/>
    <s v="August"/>
    <n v="1777.9"/>
    <n v="124.8"/>
    <n v="382.59999999999997"/>
    <n v="262.89999999999998"/>
    <n v="879.6"/>
    <n v="8"/>
    <d v="2016-08-01T00:00:00"/>
    <x v="0"/>
  </r>
  <r>
    <n v="2016"/>
    <s v="September"/>
    <n v="1770.7"/>
    <n v="127.8"/>
    <n v="389.8"/>
    <n v="265.60000000000002"/>
    <n v="905.59999999999991"/>
    <n v="9"/>
    <d v="2016-09-01T00:00:00"/>
    <x v="0"/>
  </r>
  <r>
    <n v="2016"/>
    <s v="September"/>
    <n v="1756.3999999999996"/>
    <n v="121.4"/>
    <n v="374.29999999999995"/>
    <n v="264.7"/>
    <n v="855.80000000000007"/>
    <n v="9"/>
    <d v="2016-09-01T00:00:00"/>
    <x v="0"/>
  </r>
  <r>
    <n v="2016"/>
    <s v="September"/>
    <n v="1763.6999999999998"/>
    <n v="125.4"/>
    <n v="383.8"/>
    <n v="263.89999999999998"/>
    <n v="884.09999999999991"/>
    <n v="9"/>
    <d v="2016-09-01T00:00:00"/>
    <x v="0"/>
  </r>
  <r>
    <n v="2016"/>
    <s v="October"/>
    <n v="1771.8000000000002"/>
    <n v="128.69999999999999"/>
    <n v="391.5"/>
    <n v="267.39999999999998"/>
    <n v="911"/>
    <n v="10"/>
    <d v="2016-10-01T00:00:00"/>
    <x v="0"/>
  </r>
  <r>
    <n v="2016"/>
    <s v="October"/>
    <n v="1762.8999999999999"/>
    <n v="121.8"/>
    <n v="375.79999999999995"/>
    <n v="265.5"/>
    <n v="857.99999999999989"/>
    <n v="10"/>
    <d v="2016-10-01T00:00:00"/>
    <x v="0"/>
  </r>
  <r>
    <n v="2016"/>
    <s v="October"/>
    <n v="1766.7999999999995"/>
    <n v="126.1"/>
    <n v="385.4"/>
    <n v="265.3"/>
    <n v="888.2"/>
    <n v="10"/>
    <d v="2016-10-01T00:00:00"/>
    <x v="0"/>
  </r>
  <r>
    <n v="2016"/>
    <s v="November"/>
    <n v="1764.6"/>
    <n v="129.1"/>
    <n v="393.09999999999997"/>
    <n v="268.10000000000002"/>
    <n v="913.5"/>
    <n v="11"/>
    <d v="2016-11-01T00:00:00"/>
    <x v="0"/>
  </r>
  <r>
    <n v="2016"/>
    <s v="November"/>
    <n v="1755.2"/>
    <n v="122.1"/>
    <n v="377.4"/>
    <n v="266"/>
    <n v="860.89999999999986"/>
    <n v="11"/>
    <d v="2016-11-01T00:00:00"/>
    <x v="0"/>
  </r>
  <r>
    <n v="2016"/>
    <s v="November"/>
    <n v="1759.8"/>
    <n v="126.4"/>
    <n v="386.9"/>
    <n v="266"/>
    <n v="890.80000000000007"/>
    <n v="11"/>
    <d v="2016-11-01T00:00:00"/>
    <x v="0"/>
  </r>
  <r>
    <n v="2016"/>
    <s v="December"/>
    <n v="1749.1"/>
    <n v="129.69999999999999"/>
    <n v="394.7"/>
    <n v="269.7"/>
    <n v="915"/>
    <n v="12"/>
    <d v="2016-12-01T00:00:00"/>
    <x v="0"/>
  </r>
  <r>
    <n v="2016"/>
    <s v="December"/>
    <n v="1729.8"/>
    <n v="122.3"/>
    <n v="378.6"/>
    <n v="266.8"/>
    <n v="861"/>
    <n v="12"/>
    <d v="2016-12-01T00:00:00"/>
    <x v="0"/>
  </r>
  <r>
    <n v="2016"/>
    <s v="December"/>
    <n v="1740.7"/>
    <n v="126.9"/>
    <n v="388.2"/>
    <n v="267.3"/>
    <n v="891.7"/>
    <n v="12"/>
    <d v="2016-12-01T00:00:00"/>
    <x v="0"/>
  </r>
  <r>
    <n v="2017"/>
    <s v="January"/>
    <n v="1737.3000000000002"/>
    <n v="129.9"/>
    <n v="396.29999999999995"/>
    <n v="270.10000000000002"/>
    <n v="917.7"/>
    <n v="1"/>
    <d v="2017-01-01T00:00:00"/>
    <x v="0"/>
  </r>
  <r>
    <n v="2017"/>
    <s v="January"/>
    <n v="1713.2"/>
    <n v="122.6"/>
    <n v="380"/>
    <n v="267.60000000000002"/>
    <n v="864.80000000000007"/>
    <n v="1"/>
    <d v="2017-01-01T00:00:00"/>
    <x v="0"/>
  </r>
  <r>
    <n v="2017"/>
    <s v="January"/>
    <n v="1727.2999999999995"/>
    <n v="127.1"/>
    <n v="389.7"/>
    <n v="268"/>
    <n v="894.9"/>
    <n v="1"/>
    <d v="2017-01-01T00:00:00"/>
    <x v="0"/>
  </r>
  <r>
    <n v="2017"/>
    <s v="February"/>
    <n v="1734.5000000000002"/>
    <n v="130.1"/>
    <n v="398.6"/>
    <n v="271.39999999999998"/>
    <n v="920.2"/>
    <n v="2"/>
    <d v="2017-02-01T00:00:00"/>
    <x v="0"/>
  </r>
  <r>
    <n v="2017"/>
    <s v="February"/>
    <n v="1705.3000000000002"/>
    <n v="122.9"/>
    <n v="382.1"/>
    <n v="268.5"/>
    <n v="867.2"/>
    <n v="2"/>
    <d v="2017-02-01T00:00:00"/>
    <x v="0"/>
  </r>
  <r>
    <n v="2017"/>
    <s v="February"/>
    <n v="1722.3000000000002"/>
    <n v="127.4"/>
    <n v="391.79999999999995"/>
    <n v="269"/>
    <n v="897.5"/>
    <n v="2"/>
    <d v="2017-02-01T00:00:00"/>
    <x v="0"/>
  </r>
  <r>
    <n v="2017"/>
    <s v="March"/>
    <n v="1728.5000000000002"/>
    <n v="130.6"/>
    <n v="400.49999999999994"/>
    <n v="272.5"/>
    <n v="923.19999999999982"/>
    <n v="3"/>
    <d v="2017-03-01T00:00:00"/>
    <x v="0"/>
  </r>
  <r>
    <n v="2017"/>
    <s v="March"/>
    <n v="1705.6999999999998"/>
    <n v="123.1"/>
    <n v="384.7"/>
    <n v="269.89999999999998"/>
    <n v="868.70000000000016"/>
    <n v="3"/>
    <d v="2017-03-01T00:00:00"/>
    <x v="0"/>
  </r>
  <r>
    <n v="2017"/>
    <s v="March"/>
    <n v="1718.9"/>
    <n v="127.8"/>
    <n v="394"/>
    <n v="270.10000000000002"/>
    <n v="899.7"/>
    <n v="3"/>
    <d v="2017-03-01T00:00:00"/>
    <x v="0"/>
  </r>
  <r>
    <n v="2017"/>
    <s v="April"/>
    <n v="1726.3"/>
    <n v="131"/>
    <n v="402.4"/>
    <n v="272.70000000000005"/>
    <n v="925.50000000000023"/>
    <n v="4"/>
    <d v="2017-04-01T00:00:00"/>
    <x v="0"/>
  </r>
  <r>
    <n v="2017"/>
    <s v="April"/>
    <n v="1708.1"/>
    <n v="123.4"/>
    <n v="386.7"/>
    <n v="270.60000000000002"/>
    <n v="869.2"/>
    <n v="4"/>
    <d v="2017-04-01T00:00:00"/>
    <x v="0"/>
  </r>
  <r>
    <n v="2017"/>
    <s v="April"/>
    <n v="1718.4"/>
    <n v="128.1"/>
    <n v="396"/>
    <n v="270.5"/>
    <n v="901.30000000000007"/>
    <n v="4"/>
    <d v="2017-04-01T00:00:00"/>
    <x v="0"/>
  </r>
  <r>
    <n v="2017"/>
    <s v="May"/>
    <n v="1727.4999999999995"/>
    <n v="131.4"/>
    <n v="403.40000000000003"/>
    <n v="274.89999999999998"/>
    <n v="927.5"/>
    <n v="5"/>
    <d v="2017-05-01T00:00:00"/>
    <x v="0"/>
  </r>
  <r>
    <n v="2017"/>
    <s v="May"/>
    <n v="1709.6"/>
    <n v="123.6"/>
    <n v="386"/>
    <n v="271.10000000000002"/>
    <n v="870.3"/>
    <n v="5"/>
    <d v="2017-05-01T00:00:00"/>
    <x v="0"/>
  </r>
  <r>
    <n v="2017"/>
    <s v="May"/>
    <n v="1719.6000000000001"/>
    <n v="128.4"/>
    <n v="396.3"/>
    <n v="271.89999999999998"/>
    <n v="902.7"/>
    <n v="5"/>
    <d v="2017-05-01T00:00:00"/>
    <x v="0"/>
  </r>
  <r>
    <n v="2017"/>
    <s v="June"/>
    <n v="1738.8000000000002"/>
    <n v="131.30000000000001"/>
    <n v="403.1"/>
    <n v="275.60000000000002"/>
    <n v="929.9"/>
    <n v="6"/>
    <d v="2017-06-01T00:00:00"/>
    <x v="0"/>
  </r>
  <r>
    <n v="2017"/>
    <s v="June"/>
    <n v="1731.0000000000002"/>
    <n v="123.8"/>
    <n v="384.70000000000005"/>
    <n v="271.5"/>
    <n v="870.80000000000007"/>
    <n v="6"/>
    <d v="2017-06-01T00:00:00"/>
    <x v="0"/>
  </r>
  <r>
    <n v="2017"/>
    <s v="June"/>
    <n v="1734.7"/>
    <n v="128.5"/>
    <n v="395.6"/>
    <n v="272.39999999999998"/>
    <n v="904.3"/>
    <n v="6"/>
    <d v="2017-06-01T00:00:00"/>
    <x v="0"/>
  </r>
  <r>
    <n v="2017"/>
    <s v="July"/>
    <n v="1772.9"/>
    <n v="132.1"/>
    <n v="406.5"/>
    <n v="278"/>
    <n v="934.1"/>
    <n v="7"/>
    <d v="2017-07-01T00:00:00"/>
    <x v="0"/>
  </r>
  <r>
    <n v="2017"/>
    <s v="July"/>
    <n v="1768.1"/>
    <n v="125"/>
    <n v="387.8"/>
    <n v="274"/>
    <n v="871.50000000000011"/>
    <n v="7"/>
    <d v="2017-07-01T00:00:00"/>
    <x v="0"/>
  </r>
  <r>
    <n v="2017"/>
    <s v="July"/>
    <n v="1769.3999999999999"/>
    <n v="129.4"/>
    <n v="398.8"/>
    <n v="274.79999999999995"/>
    <n v="907.1"/>
    <n v="7"/>
    <d v="2017-07-01T00:00:00"/>
    <x v="0"/>
  </r>
  <r>
    <n v="2017"/>
    <s v="August"/>
    <n v="1792.4999999999998"/>
    <n v="133"/>
    <n v="411"/>
    <n v="280.5"/>
    <n v="941.69999999999982"/>
    <n v="8"/>
    <d v="2017-08-01T00:00:00"/>
    <x v="0"/>
  </r>
  <r>
    <n v="2017"/>
    <s v="August"/>
    <n v="1772.9999999999998"/>
    <n v="125.7"/>
    <n v="389"/>
    <n v="276.2"/>
    <n v="877.8"/>
    <n v="8"/>
    <d v="2017-08-01T00:00:00"/>
    <x v="0"/>
  </r>
  <r>
    <n v="2017"/>
    <s v="August"/>
    <n v="1783.8"/>
    <n v="130.19999999999999"/>
    <n v="401.80000000000007"/>
    <n v="277.10000000000002"/>
    <n v="914"/>
    <n v="8"/>
    <d v="2017-08-01T00:00:00"/>
    <x v="0"/>
  </r>
  <r>
    <n v="2017"/>
    <s v="September"/>
    <n v="1784.3"/>
    <n v="133.4"/>
    <n v="412.70000000000005"/>
    <n v="282.10000000000002"/>
    <n v="947.10000000000014"/>
    <n v="9"/>
    <d v="2017-09-01T00:00:00"/>
    <x v="0"/>
  </r>
  <r>
    <n v="2017"/>
    <s v="September"/>
    <n v="1749.7"/>
    <n v="126.1"/>
    <n v="392.19999999999993"/>
    <n v="278.10000000000002"/>
    <n v="882.6"/>
    <n v="9"/>
    <d v="2017-09-01T00:00:00"/>
    <x v="0"/>
  </r>
  <r>
    <n v="2017"/>
    <s v="September"/>
    <n v="1769.9999999999998"/>
    <n v="130.6"/>
    <n v="404.1"/>
    <n v="278.70000000000005"/>
    <n v="919.3"/>
    <n v="9"/>
    <d v="2017-09-01T00:00:00"/>
    <x v="0"/>
  </r>
  <r>
    <n v="2017"/>
    <s v="October"/>
    <n v="1790.8999999999999"/>
    <n v="134.19999999999999"/>
    <n v="415.5"/>
    <n v="283.5"/>
    <n v="951.5"/>
    <n v="10"/>
    <d v="2017-10-01T00:00:00"/>
    <x v="0"/>
  </r>
  <r>
    <n v="2017"/>
    <s v="October"/>
    <n v="1765.6999999999998"/>
    <n v="126.6"/>
    <n v="396.2"/>
    <n v="279.39999999999998"/>
    <n v="883.9"/>
    <n v="10"/>
    <d v="2017-10-01T00:00:00"/>
    <x v="0"/>
  </r>
  <r>
    <n v="2017"/>
    <s v="October"/>
    <n v="1779.6999999999998"/>
    <n v="131.30000000000001"/>
    <n v="407.4"/>
    <n v="280"/>
    <n v="922.2"/>
    <n v="10"/>
    <d v="2017-10-01T00:00:00"/>
    <x v="0"/>
  </r>
  <r>
    <n v="2017"/>
    <s v="November"/>
    <n v="1817.7000000000003"/>
    <n v="135.80000000000001"/>
    <n v="421.2"/>
    <n v="285.79999999999995"/>
    <n v="957.8"/>
    <n v="11"/>
    <d v="2017-11-01T00:00:00"/>
    <x v="0"/>
  </r>
  <r>
    <n v="2017"/>
    <s v="November"/>
    <n v="1796.7"/>
    <n v="127.4"/>
    <n v="400.9"/>
    <n v="281.29999999999995"/>
    <n v="887.8"/>
    <n v="11"/>
    <d v="2017-11-01T00:00:00"/>
    <x v="0"/>
  </r>
  <r>
    <n v="2017"/>
    <s v="November"/>
    <n v="1808.2"/>
    <n v="132.6"/>
    <n v="412.5"/>
    <n v="282.10000000000002"/>
    <n v="927.49999999999989"/>
    <n v="11"/>
    <d v="2017-11-01T00:00:00"/>
    <x v="0"/>
  </r>
  <r>
    <n v="2017"/>
    <s v="December"/>
    <n v="1813.6000000000001"/>
    <n v="136.1"/>
    <n v="422.79999999999995"/>
    <n v="286.60000000000002"/>
    <n v="958.29999999999984"/>
    <n v="12"/>
    <d v="2017-12-01T00:00:00"/>
    <x v="0"/>
  </r>
  <r>
    <n v="2017"/>
    <s v="December"/>
    <n v="1767.5"/>
    <n v="128.19999999999999"/>
    <n v="402.59999999999997"/>
    <n v="282.60000000000002"/>
    <n v="889.5"/>
    <n v="12"/>
    <d v="2017-12-01T00:00:00"/>
    <x v="0"/>
  </r>
  <r>
    <n v="2017"/>
    <s v="December"/>
    <n v="1794.9999999999998"/>
    <n v="133.1"/>
    <n v="414.2"/>
    <n v="283.2"/>
    <n v="928.5"/>
    <n v="12"/>
    <d v="2017-12-01T00:00:00"/>
    <x v="0"/>
  </r>
  <r>
    <n v="2018"/>
    <s v="January"/>
    <n v="1800.7"/>
    <n v="136"/>
    <n v="424.30000000000007"/>
    <n v="287.89999999999998"/>
    <n v="961.50000000000023"/>
    <n v="1"/>
    <d v="2018-01-01T00:00:00"/>
    <x v="0"/>
  </r>
  <r>
    <n v="2018"/>
    <s v="January"/>
    <n v="1748.3000000000002"/>
    <n v="129"/>
    <n v="404.79999999999995"/>
    <n v="283.89999999999998"/>
    <n v="893.39999999999986"/>
    <n v="1"/>
    <d v="2018-01-01T00:00:00"/>
    <x v="0"/>
  </r>
  <r>
    <n v="2018"/>
    <s v="January"/>
    <n v="1779.9"/>
    <n v="133.30000000000001"/>
    <n v="416"/>
    <n v="284.39999999999998"/>
    <n v="931.9"/>
    <n v="1"/>
    <d v="2018-01-01T00:00:00"/>
    <x v="0"/>
  </r>
  <r>
    <n v="2018"/>
    <s v="February"/>
    <n v="1781.5"/>
    <n v="136.19999999999999"/>
    <n v="425.20000000000005"/>
    <n v="287.60000000000002"/>
    <n v="963.40000000000009"/>
    <n v="2"/>
    <d v="2018-02-01T00:00:00"/>
    <x v="0"/>
  </r>
  <r>
    <n v="2018"/>
    <s v="February"/>
    <n v="1727.9"/>
    <n v="129.80000000000001"/>
    <n v="405.8"/>
    <n v="285.8"/>
    <n v="897.1"/>
    <n v="2"/>
    <d v="2018-02-01T00:00:00"/>
    <x v="0"/>
  </r>
  <r>
    <n v="2018"/>
    <s v="February"/>
    <n v="1760.3999999999996"/>
    <n v="133.80000000000001"/>
    <n v="417"/>
    <n v="284.8"/>
    <n v="934.70000000000016"/>
    <n v="2"/>
    <d v="2018-02-01T00:00:00"/>
    <x v="0"/>
  </r>
  <r>
    <n v="2018"/>
    <s v="March"/>
    <n v="1781.9999999999998"/>
    <n v="136.69999999999999"/>
    <n v="427.3"/>
    <n v="290.2"/>
    <n v="967.59999999999991"/>
    <n v="3"/>
    <d v="2018-03-01T00:00:00"/>
    <x v="0"/>
  </r>
  <r>
    <n v="2018"/>
    <s v="March"/>
    <n v="1715.5"/>
    <n v="130.5"/>
    <n v="406.2"/>
    <n v="286.5"/>
    <n v="901"/>
    <n v="3"/>
    <d v="2018-03-01T00:00:00"/>
    <x v="0"/>
  </r>
  <r>
    <n v="2018"/>
    <s v="March"/>
    <n v="1756"/>
    <n v="134.30000000000001"/>
    <n v="418.3"/>
    <n v="286.70000000000005"/>
    <n v="938.7"/>
    <n v="3"/>
    <d v="2018-03-01T00:00:00"/>
    <x v="0"/>
  </r>
  <r>
    <n v="2018"/>
    <s v="April"/>
    <n v="1780"/>
    <n v="137.6"/>
    <n v="430.40000000000003"/>
    <n v="292.10000000000002"/>
    <n v="973.3"/>
    <n v="4"/>
    <d v="2018-04-01T00:00:00"/>
    <x v="0"/>
  </r>
  <r>
    <n v="2018"/>
    <s v="April"/>
    <n v="1720.0000000000002"/>
    <n v="131.30000000000001"/>
    <n v="407.2"/>
    <n v="286.79999999999995"/>
    <n v="907.90000000000009"/>
    <n v="4"/>
    <d v="2018-04-01T00:00:00"/>
    <x v="0"/>
  </r>
  <r>
    <n v="2018"/>
    <s v="April"/>
    <n v="1757.1000000000001"/>
    <n v="135.19999999999999"/>
    <n v="420.79999999999995"/>
    <n v="288.20000000000005"/>
    <n v="945"/>
    <n v="4"/>
    <d v="2018-04-01T00:00:00"/>
    <x v="0"/>
  </r>
  <r>
    <n v="2018"/>
    <s v="May"/>
    <n v="1782.4"/>
    <n v="138.4"/>
    <n v="431.9"/>
    <n v="293.8"/>
    <n v="979.19999999999993"/>
    <n v="5"/>
    <d v="2018-05-01T00:00:00"/>
    <x v="0"/>
  </r>
  <r>
    <n v="2018"/>
    <s v="May"/>
    <n v="1722.8999999999999"/>
    <n v="132"/>
    <n v="408.29999999999995"/>
    <n v="288.3"/>
    <n v="912.8"/>
    <n v="5"/>
    <d v="2018-05-01T00:00:00"/>
    <x v="0"/>
  </r>
  <r>
    <n v="2018"/>
    <s v="May"/>
    <n v="1759.8"/>
    <n v="136"/>
    <n v="422.20000000000005"/>
    <n v="289.70000000000005"/>
    <n v="950.4"/>
    <n v="5"/>
    <d v="2018-05-01T00:00:00"/>
    <x v="0"/>
  </r>
  <r>
    <n v="2018"/>
    <s v="June"/>
    <n v="1790.2999999999997"/>
    <n v="138.4"/>
    <n v="432.70000000000005"/>
    <n v="295.10000000000002"/>
    <n v="982.9"/>
    <n v="6"/>
    <d v="2018-06-01T00:00:00"/>
    <x v="0"/>
  </r>
  <r>
    <n v="2018"/>
    <s v="June"/>
    <n v="1747.3000000000002"/>
    <n v="132.6"/>
    <n v="410.2"/>
    <n v="289.5"/>
    <n v="916.2"/>
    <n v="6"/>
    <d v="2018-06-01T00:00:00"/>
    <x v="0"/>
  </r>
  <r>
    <n v="2018"/>
    <s v="June"/>
    <n v="1774.1000000000001"/>
    <n v="136.19999999999999"/>
    <n v="423.40000000000003"/>
    <n v="290.89999999999998"/>
    <n v="954.00000000000011"/>
    <n v="6"/>
    <d v="2018-06-01T00:00:00"/>
    <x v="0"/>
  </r>
  <r>
    <n v="2018"/>
    <s v="July"/>
    <n v="1810.5000000000002"/>
    <n v="139"/>
    <n v="436.2"/>
    <n v="294.5"/>
    <n v="985.2"/>
    <n v="7"/>
    <d v="2018-07-01T00:00:00"/>
    <x v="0"/>
  </r>
  <r>
    <n v="2018"/>
    <s v="July"/>
    <n v="1771.1"/>
    <n v="133.6"/>
    <n v="415.7"/>
    <n v="290.39999999999998"/>
    <n v="918.5"/>
    <n v="7"/>
    <d v="2018-07-01T00:00:00"/>
    <x v="0"/>
  </r>
  <r>
    <n v="2018"/>
    <s v="July"/>
    <n v="1795.3"/>
    <n v="137"/>
    <n v="427.99999999999994"/>
    <n v="290.60000000000002"/>
    <n v="956.30000000000018"/>
    <n v="7"/>
    <d v="2018-07-01T00:00:00"/>
    <x v="0"/>
  </r>
  <r>
    <n v="2018"/>
    <s v="August"/>
    <n v="1818.8"/>
    <n v="139.4"/>
    <n v="439.19999999999993"/>
    <n v="295"/>
    <n v="989.19999999999993"/>
    <n v="8"/>
    <d v="2018-08-01T00:00:00"/>
    <x v="0"/>
  </r>
  <r>
    <n v="2018"/>
    <s v="August"/>
    <n v="1767.6"/>
    <n v="134.9"/>
    <n v="419.7"/>
    <n v="291.89999999999998"/>
    <n v="921.7"/>
    <n v="8"/>
    <d v="2018-08-01T00:00:00"/>
    <x v="0"/>
  </r>
  <r>
    <n v="2018"/>
    <s v="August"/>
    <n v="1798.7000000000003"/>
    <n v="137.69999999999999"/>
    <n v="431.5"/>
    <n v="291.5"/>
    <n v="959.9"/>
    <n v="8"/>
    <d v="2018-08-01T00:00:00"/>
    <x v="0"/>
  </r>
  <r>
    <n v="2018"/>
    <s v="September"/>
    <n v="1799.8000000000002"/>
    <n v="140"/>
    <n v="441.9"/>
    <n v="297.7"/>
    <n v="992.8"/>
    <n v="9"/>
    <d v="2018-09-01T00:00:00"/>
    <x v="0"/>
  </r>
  <r>
    <n v="2018"/>
    <s v="September"/>
    <n v="1748.4"/>
    <n v="135.69999999999999"/>
    <n v="421.7"/>
    <n v="293.5"/>
    <n v="927.80000000000007"/>
    <n v="9"/>
    <d v="2018-09-01T00:00:00"/>
    <x v="0"/>
  </r>
  <r>
    <n v="2018"/>
    <s v="September"/>
    <n v="1779.5"/>
    <n v="138.4"/>
    <n v="433.8"/>
    <n v="293.7"/>
    <n v="964.59999999999991"/>
    <n v="9"/>
    <d v="2018-09-01T00:00:00"/>
    <x v="0"/>
  </r>
  <r>
    <n v="2018"/>
    <s v="October"/>
    <n v="1782.2"/>
    <n v="144.80000000000001"/>
    <n v="444"/>
    <n v="299.7"/>
    <n v="997.5"/>
    <n v="10"/>
    <d v="2018-10-01T00:00:00"/>
    <x v="0"/>
  </r>
  <r>
    <n v="2018"/>
    <s v="October"/>
    <n v="1754.1"/>
    <n v="136.19999999999999"/>
    <n v="425.20000000000005"/>
    <n v="294.7"/>
    <n v="932.3"/>
    <n v="10"/>
    <d v="2018-10-01T00:00:00"/>
    <x v="0"/>
  </r>
  <r>
    <n v="2018"/>
    <s v="October"/>
    <n v="1776.2"/>
    <n v="142.1"/>
    <n v="440.00000000000006"/>
    <n v="299.10000000000002"/>
    <n v="970"/>
    <n v="10"/>
    <d v="2018-10-01T00:00:00"/>
    <x v="0"/>
  </r>
  <r>
    <n v="2018"/>
    <s v="November"/>
    <n v="1787.4999999999995"/>
    <n v="145.4"/>
    <n v="447.40000000000003"/>
    <n v="305"/>
    <n v="999.5"/>
    <n v="11"/>
    <d v="2018-11-01T00:00:00"/>
    <x v="0"/>
  </r>
  <r>
    <n v="2018"/>
    <s v="November"/>
    <n v="1757.4999999999998"/>
    <n v="136.80000000000001"/>
    <n v="429.70000000000005"/>
    <n v="295.70000000000005"/>
    <n v="932.80000000000018"/>
    <n v="11"/>
    <d v="2018-11-01T00:00:00"/>
    <x v="0"/>
  </r>
  <r>
    <n v="2018"/>
    <s v="November"/>
    <n v="1775.7000000000003"/>
    <n v="142.1"/>
    <n v="439.8"/>
    <n v="299.10000000000002"/>
    <n v="969.8"/>
    <n v="11"/>
    <d v="2018-11-01T00:00:00"/>
    <x v="0"/>
  </r>
  <r>
    <n v="2018"/>
    <s v="December"/>
    <n v="1773.1000000000001"/>
    <n v="149.6"/>
    <n v="450.6"/>
    <n v="305.70000000000005"/>
    <n v="1001.4999999999999"/>
    <n v="12"/>
    <d v="2018-12-01T00:00:00"/>
    <x v="0"/>
  </r>
  <r>
    <n v="2018"/>
    <s v="December"/>
    <n v="1746.6"/>
    <n v="137.30000000000001"/>
    <n v="425.4"/>
    <n v="296.29999999999995"/>
    <n v="931.3"/>
    <n v="12"/>
    <d v="2018-12-01T00:00:00"/>
    <x v="0"/>
  </r>
  <r>
    <n v="2018"/>
    <s v="December"/>
    <n v="1762.7999999999997"/>
    <n v="144.9"/>
    <n v="439.29999999999995"/>
    <n v="299.8"/>
    <n v="970.09999999999991"/>
    <n v="12"/>
    <d v="2018-12-01T00:00:00"/>
    <x v="0"/>
  </r>
  <r>
    <n v="2019"/>
    <s v="January"/>
    <n v="1759.6000000000001"/>
    <n v="149.6"/>
    <n v="449.09999999999997"/>
    <n v="305.60000000000002"/>
    <n v="999.5"/>
    <n v="1"/>
    <d v="2019-01-01T00:00:00"/>
    <x v="0"/>
  </r>
  <r>
    <n v="2019"/>
    <s v="January"/>
    <n v="1744.3000000000002"/>
    <n v="137.80000000000001"/>
    <n v="422.9"/>
    <n v="296.60000000000002"/>
    <n v="932.89999999999986"/>
    <n v="1"/>
    <d v="2019-01-01T00:00:00"/>
    <x v="0"/>
  </r>
  <r>
    <n v="2019"/>
    <s v="January"/>
    <n v="1753.3999999999999"/>
    <n v="145.1"/>
    <n v="437.4"/>
    <n v="299.89999999999998"/>
    <n v="969.6"/>
    <n v="1"/>
    <d v="2019-01-01T00:00:00"/>
    <x v="0"/>
  </r>
  <r>
    <n v="2019"/>
    <s v="February"/>
    <n v="1759.8000000000002"/>
    <n v="149.9"/>
    <n v="449.3"/>
    <n v="306.20000000000005"/>
    <n v="1002.8999999999999"/>
    <n v="2"/>
    <d v="2019-02-01T00:00:00"/>
    <x v="0"/>
  </r>
  <r>
    <n v="2019"/>
    <s v="February"/>
    <n v="1754.4"/>
    <n v="138.5"/>
    <n v="422.20000000000005"/>
    <n v="297.10000000000002"/>
    <n v="936.7"/>
    <n v="2"/>
    <d v="2019-02-01T00:00:00"/>
    <x v="0"/>
  </r>
  <r>
    <n v="2019"/>
    <s v="February"/>
    <n v="1757.1"/>
    <n v="145.6"/>
    <n v="437.2"/>
    <n v="300.5"/>
    <n v="972.99999999999989"/>
    <n v="2"/>
    <d v="2019-02-01T00:00:00"/>
    <x v="0"/>
  </r>
  <r>
    <n v="2019"/>
    <s v="March"/>
    <n v="1761.2000000000003"/>
    <n v="150.4"/>
    <n v="450.9"/>
    <n v="306.70000000000005"/>
    <n v="1003.3"/>
    <n v="3"/>
    <d v="2019-03-01T00:00:00"/>
    <x v="0"/>
  </r>
  <r>
    <n v="2019"/>
    <s v="March"/>
    <n v="1768.4"/>
    <n v="139.19999999999999"/>
    <n v="424.5"/>
    <n v="298.3"/>
    <n v="938.3"/>
    <n v="3"/>
    <d v="2019-03-01T00:00:00"/>
    <x v="0"/>
  </r>
  <r>
    <n v="2019"/>
    <s v="March"/>
    <n v="1762.9"/>
    <n v="146.19999999999999"/>
    <n v="439"/>
    <n v="301.2"/>
    <n v="974"/>
    <n v="3"/>
    <d v="2019-03-01T00:00:00"/>
    <x v="0"/>
  </r>
  <r>
    <n v="2019"/>
    <s v="May"/>
    <n v="1782.1000000000001"/>
    <n v="151.30000000000001"/>
    <n v="453.7"/>
    <n v="309.20000000000005"/>
    <n v="1005.0999999999999"/>
    <n v="5"/>
    <d v="2019-05-01T00:00:00"/>
    <x v="0"/>
  </r>
  <r>
    <n v="2019"/>
    <s v="May"/>
    <n v="1811.5000000000002"/>
    <n v="139.80000000000001"/>
    <n v="427.5"/>
    <n v="300.2"/>
    <n v="941.09999999999991"/>
    <n v="5"/>
    <d v="2019-05-01T00:00:00"/>
    <x v="0"/>
  </r>
  <r>
    <n v="2019"/>
    <s v="May"/>
    <n v="1791.9000000000003"/>
    <n v="146.9"/>
    <n v="442"/>
    <n v="303.29999999999995"/>
    <n v="976.3"/>
    <n v="5"/>
    <d v="2019-05-01T00:00:00"/>
    <x v="0"/>
  </r>
  <r>
    <n v="2019"/>
    <s v="June"/>
    <n v="1804.1999999999998"/>
    <n v="151.69999999999999"/>
    <n v="454.90000000000003"/>
    <n v="310.60000000000002"/>
    <n v="1006.4999999999998"/>
    <n v="6"/>
    <d v="2019-06-01T00:00:00"/>
    <x v="0"/>
  </r>
  <r>
    <n v="2019"/>
    <s v="June"/>
    <n v="1833.2999999999997"/>
    <n v="140.30000000000001"/>
    <n v="428.79999999999995"/>
    <n v="301"/>
    <n v="942.69999999999993"/>
    <n v="6"/>
    <d v="2019-06-01T00:00:00"/>
    <x v="0"/>
  </r>
  <r>
    <n v="2019"/>
    <s v="June"/>
    <n v="1814.1000000000001"/>
    <n v="147.4"/>
    <n v="443.1"/>
    <n v="304.5"/>
    <n v="977.70000000000016"/>
    <n v="6"/>
    <d v="2019-06-01T00:00:00"/>
    <x v="0"/>
  </r>
  <r>
    <n v="2019"/>
    <s v="July"/>
    <n v="1826.8999999999999"/>
    <n v="152.19999999999999"/>
    <n v="456.5"/>
    <n v="312"/>
    <n v="1010.5999999999999"/>
    <n v="7"/>
    <d v="2019-07-01T00:00:00"/>
    <x v="0"/>
  </r>
  <r>
    <n v="2019"/>
    <s v="July"/>
    <n v="1857.3999999999999"/>
    <n v="140.80000000000001"/>
    <n v="428"/>
    <n v="302.2"/>
    <n v="947.2"/>
    <n v="7"/>
    <d v="2019-07-01T00:00:00"/>
    <x v="0"/>
  </r>
  <r>
    <n v="2019"/>
    <s v="July"/>
    <n v="1837.5"/>
    <n v="147.9"/>
    <n v="443.9"/>
    <n v="305.7"/>
    <n v="982"/>
    <n v="7"/>
    <d v="2019-07-01T00:00:00"/>
    <x v="0"/>
  </r>
  <r>
    <n v="2019"/>
    <s v="August"/>
    <n v="1834.5000000000002"/>
    <n v="152.69999999999999"/>
    <n v="457.7"/>
    <n v="313.10000000000002"/>
    <n v="1014.8000000000001"/>
    <n v="8"/>
    <d v="2019-08-01T00:00:00"/>
    <x v="0"/>
  </r>
  <r>
    <n v="2019"/>
    <s v="August"/>
    <n v="1869.1"/>
    <n v="141.5"/>
    <n v="428.6"/>
    <n v="303.3"/>
    <n v="952.19999999999982"/>
    <n v="8"/>
    <d v="2019-08-01T00:00:00"/>
    <x v="0"/>
  </r>
  <r>
    <n v="2019"/>
    <s v="August"/>
    <n v="1846.5"/>
    <n v="148.5"/>
    <n v="445"/>
    <n v="306.70000000000005"/>
    <n v="986.5"/>
    <n v="8"/>
    <d v="2019-08-01T00:00:00"/>
    <x v="0"/>
  </r>
  <r>
    <n v="2019"/>
    <s v="September"/>
    <n v="1848.7"/>
    <n v="153.4"/>
    <n v="459.3"/>
    <n v="314"/>
    <n v="1016.7999999999998"/>
    <n v="9"/>
    <d v="2019-09-01T00:00:00"/>
    <x v="0"/>
  </r>
  <r>
    <n v="2019"/>
    <s v="September"/>
    <n v="1874.9"/>
    <n v="141.9"/>
    <n v="430.4"/>
    <n v="304.5"/>
    <n v="955"/>
    <n v="9"/>
    <d v="2019-09-01T00:00:00"/>
    <x v="0"/>
  </r>
  <r>
    <n v="2019"/>
    <s v="September"/>
    <n v="1857.6999999999998"/>
    <n v="149"/>
    <n v="446.59999999999997"/>
    <n v="307.8"/>
    <n v="988.8"/>
    <n v="9"/>
    <d v="2019-09-01T00:00:00"/>
    <x v="0"/>
  </r>
  <r>
    <n v="2019"/>
    <s v="October"/>
    <n v="1876.8999999999996"/>
    <n v="153.69999999999999"/>
    <n v="461.4"/>
    <n v="315"/>
    <n v="1017.7"/>
    <n v="10"/>
    <d v="2019-10-01T00:00:00"/>
    <x v="0"/>
  </r>
  <r>
    <n v="2019"/>
    <s v="October"/>
    <n v="1902.6000000000001"/>
    <n v="142.4"/>
    <n v="433.59999999999997"/>
    <n v="305.5"/>
    <n v="957.90000000000009"/>
    <n v="10"/>
    <d v="2019-10-01T00:00:00"/>
    <x v="0"/>
  </r>
  <r>
    <n v="2019"/>
    <s v="October"/>
    <n v="1885.5999999999997"/>
    <n v="149.4"/>
    <n v="449"/>
    <n v="308.79999999999995"/>
    <n v="990.7"/>
    <n v="10"/>
    <d v="2019-10-01T00:00:00"/>
    <x v="0"/>
  </r>
  <r>
    <n v="2019"/>
    <s v="November"/>
    <n v="1904.6000000000001"/>
    <n v="154.30000000000001"/>
    <n v="462.7"/>
    <n v="316.29999999999995"/>
    <n v="1020.5000000000001"/>
    <n v="11"/>
    <d v="2019-11-01T00:00:00"/>
    <x v="0"/>
  </r>
  <r>
    <n v="2019"/>
    <s v="November"/>
    <n v="1923.9999999999998"/>
    <n v="142.80000000000001"/>
    <n v="437.5"/>
    <n v="306.60000000000002"/>
    <n v="960"/>
    <n v="11"/>
    <d v="2019-11-01T00:00:00"/>
    <x v="0"/>
  </r>
  <r>
    <n v="2019"/>
    <s v="November"/>
    <n v="1910.9"/>
    <n v="149.9"/>
    <n v="451.3"/>
    <n v="310"/>
    <n v="993"/>
    <n v="11"/>
    <d v="2019-11-01T00:00:00"/>
    <x v="0"/>
  </r>
  <r>
    <n v="2019"/>
    <s v="December"/>
    <n v="1940.9999999999995"/>
    <n v="154.80000000000001"/>
    <n v="463.80000000000007"/>
    <n v="317.3"/>
    <n v="1025.7"/>
    <n v="12"/>
    <d v="2019-12-01T00:00:00"/>
    <x v="0"/>
  </r>
  <r>
    <n v="2019"/>
    <s v="December"/>
    <n v="1956.7"/>
    <n v="143.19999999999999"/>
    <n v="438.29999999999995"/>
    <n v="307.20000000000005"/>
    <n v="967.10000000000014"/>
    <n v="12"/>
    <d v="2019-12-01T00:00:00"/>
    <x v="0"/>
  </r>
  <r>
    <n v="2019"/>
    <s v="December"/>
    <n v="1946.1000000000001"/>
    <n v="150.4"/>
    <n v="452.2"/>
    <n v="310.8"/>
    <n v="999.1"/>
    <n v="12"/>
    <d v="2019-12-01T00:00:00"/>
    <x v="0"/>
  </r>
  <r>
    <n v="2020"/>
    <s v="January"/>
    <n v="1938.6"/>
    <n v="155.69999999999999"/>
    <n v="466"/>
    <n v="318.7"/>
    <n v="1030.8999999999999"/>
    <n v="1"/>
    <d v="2020-01-01T00:00:00"/>
    <x v="0"/>
  </r>
  <r>
    <n v="2020"/>
    <s v="January"/>
    <n v="1945.3999999999999"/>
    <n v="143.80000000000001"/>
    <n v="441.1"/>
    <n v="308"/>
    <n v="971.80000000000007"/>
    <n v="1"/>
    <d v="2020-01-01T00:00:00"/>
    <x v="0"/>
  </r>
  <r>
    <n v="2020"/>
    <s v="January"/>
    <n v="1940.3999999999999"/>
    <n v="151.19999999999999"/>
    <n v="454.6"/>
    <n v="312"/>
    <n v="1003.9999999999999"/>
    <n v="1"/>
    <d v="2020-01-01T00:00:00"/>
    <x v="0"/>
  </r>
  <r>
    <n v="2020"/>
    <s v="February"/>
    <n v="1909.7999999999997"/>
    <n v="156.19999999999999"/>
    <n v="469"/>
    <n v="319.8"/>
    <n v="1032.4000000000001"/>
    <n v="2"/>
    <d v="2020-02-01T00:00:00"/>
    <x v="0"/>
  </r>
  <r>
    <n v="2020"/>
    <s v="February"/>
    <n v="1916.6"/>
    <n v="144.4"/>
    <n v="445.90000000000003"/>
    <n v="309.7"/>
    <n v="973.5"/>
    <n v="2"/>
    <d v="2020-02-01T00:00:00"/>
    <x v="0"/>
  </r>
  <r>
    <n v="2020"/>
    <s v="February"/>
    <n v="1911.6"/>
    <n v="151.69999999999999"/>
    <n v="458.2"/>
    <n v="313.29999999999995"/>
    <n v="1005.7"/>
    <n v="2"/>
    <d v="2020-02-01T00:00:00"/>
    <x v="0"/>
  </r>
  <r>
    <n v="2020"/>
    <s v="March"/>
    <n v="1894.5999999999997"/>
    <n v="156.69999999999999"/>
    <n v="469.09999999999997"/>
    <n v="321.7"/>
    <n v="1034.5"/>
    <n v="3"/>
    <d v="2020-03-01T00:00:00"/>
    <x v="1"/>
  </r>
  <r>
    <n v="2020"/>
    <s v="March"/>
    <n v="1898.5"/>
    <n v="145"/>
    <n v="448.4"/>
    <n v="311.20000000000005"/>
    <n v="976.50000000000023"/>
    <n v="3"/>
    <d v="2020-03-01T00:00:00"/>
    <x v="1"/>
  </r>
  <r>
    <n v="2020"/>
    <s v="March"/>
    <n v="1895.4"/>
    <n v="152.30000000000001"/>
    <n v="459.5"/>
    <n v="314.89999999999998"/>
    <n v="1008.2"/>
    <n v="3"/>
    <d v="2020-03-01T00:00:00"/>
    <x v="1"/>
  </r>
  <r>
    <n v="2020"/>
    <s v="April"/>
    <n v="1941.55"/>
    <n v="154.30000000000001"/>
    <n v="465.55"/>
    <n v="320.75"/>
    <n v="1033.4499999999998"/>
    <n v="4"/>
    <d v="2020-04-01T00:00:00"/>
    <x v="1"/>
  </r>
  <r>
    <n v="2020"/>
    <s v="April"/>
    <n v="1963.3"/>
    <n v="144.80000000000001"/>
    <n v="445.04999999999995"/>
    <n v="310.45000000000005"/>
    <n v="975"/>
    <n v="4"/>
    <d v="2020-04-01T00:00:00"/>
    <x v="1"/>
  </r>
  <r>
    <n v="2020"/>
    <s v="April"/>
    <n v="1949.3"/>
    <n v="150.69999999999999"/>
    <n v="455.84999999999997"/>
    <n v="314.09999999999997"/>
    <n v="1006.95"/>
    <n v="4"/>
    <d v="2020-04-01T00:00:00"/>
    <x v="1"/>
  </r>
  <r>
    <n v="2020"/>
    <s v="May"/>
    <n v="1918.0749999999998"/>
    <n v="155.5"/>
    <n v="312.27499999999998"/>
    <n v="321.22500000000002"/>
    <n v="1033.9749999999999"/>
    <n v="5"/>
    <d v="2020-05-01T00:00:00"/>
    <x v="1"/>
  </r>
  <r>
    <n v="2020"/>
    <s v="May"/>
    <n v="1930.9"/>
    <n v="144.9"/>
    <n v="291.67500000000001"/>
    <n v="310.82500000000005"/>
    <n v="975.75000000000011"/>
    <n v="5"/>
    <d v="2020-05-01T00:00:00"/>
    <x v="1"/>
  </r>
  <r>
    <n v="2020"/>
    <s v="May"/>
    <n v="1922.35"/>
    <n v="151.5"/>
    <n v="302.625"/>
    <n v="314.5"/>
    <n v="1007.575"/>
    <n v="5"/>
    <d v="2020-05-01T00:00:00"/>
    <x v="1"/>
  </r>
  <r>
    <n v="2020"/>
    <s v="June"/>
    <n v="1951"/>
    <n v="158.19999999999999"/>
    <n v="461.40000000000003"/>
    <n v="335.6"/>
    <n v="1054.8"/>
    <n v="6"/>
    <d v="2020-06-01T00:00:00"/>
    <x v="1"/>
  </r>
  <r>
    <n v="2020"/>
    <s v="June"/>
    <n v="1994.9999999999998"/>
    <n v="148.1"/>
    <n v="444.29999999999995"/>
    <n v="331.2"/>
    <n v="996.8"/>
    <n v="6"/>
    <d v="2020-06-01T00:00:00"/>
    <x v="1"/>
  </r>
  <r>
    <n v="2020"/>
    <s v="June"/>
    <n v="1966.8000000000002"/>
    <n v="154.4"/>
    <n v="453"/>
    <n v="331.8"/>
    <n v="1028.3"/>
    <n v="6"/>
    <d v="2020-06-01T00:00:00"/>
    <x v="1"/>
  </r>
  <r>
    <n v="2020"/>
    <s v="July"/>
    <n v="1951"/>
    <n v="158.19999999999999"/>
    <n v="461.40000000000003"/>
    <n v="335.6"/>
    <n v="1054.8"/>
    <n v="7"/>
    <d v="2020-07-01T00:00:00"/>
    <x v="1"/>
  </r>
  <r>
    <n v="2020"/>
    <s v="July"/>
    <n v="1994.9999999999998"/>
    <n v="148.1"/>
    <n v="444.29999999999995"/>
    <n v="331.2"/>
    <n v="996.8"/>
    <n v="7"/>
    <d v="2020-07-01T00:00:00"/>
    <x v="1"/>
  </r>
  <r>
    <n v="2020"/>
    <s v="July"/>
    <n v="1966.8000000000002"/>
    <n v="154.4"/>
    <n v="453"/>
    <n v="331.8"/>
    <n v="1028.3"/>
    <n v="7"/>
    <d v="2020-07-01T00:00:00"/>
    <x v="1"/>
  </r>
  <r>
    <n v="2020"/>
    <s v="August"/>
    <n v="1978.6"/>
    <n v="158.80000000000001"/>
    <n v="464"/>
    <n v="333.1"/>
    <n v="1060.8000000000002"/>
    <n v="8"/>
    <d v="2020-08-01T00:00:00"/>
    <x v="1"/>
  </r>
  <r>
    <n v="2020"/>
    <s v="August"/>
    <n v="2024.8999999999999"/>
    <n v="148.69999999999999"/>
    <n v="449.3"/>
    <n v="328.4"/>
    <n v="1011.3999999999999"/>
    <n v="8"/>
    <d v="2020-08-01T00:00:00"/>
    <x v="1"/>
  </r>
  <r>
    <n v="2020"/>
    <s v="August"/>
    <n v="1995.1999999999998"/>
    <n v="155"/>
    <n v="457"/>
    <n v="328.6"/>
    <n v="1038.4000000000001"/>
    <n v="8"/>
    <d v="2020-08-01T00:00:00"/>
    <x v="1"/>
  </r>
  <r>
    <n v="2020"/>
    <s v="September"/>
    <n v="1987.3999999999999"/>
    <n v="159.1"/>
    <n v="463.80000000000007"/>
    <n v="335.70000000000005"/>
    <n v="1067.2"/>
    <n v="9"/>
    <d v="2020-09-01T00:00:00"/>
    <x v="1"/>
  </r>
  <r>
    <n v="2020"/>
    <s v="September"/>
    <n v="2041.6000000000001"/>
    <n v="150"/>
    <n v="448.4"/>
    <n v="330.5"/>
    <n v="1020.9000000000001"/>
    <n v="9"/>
    <d v="2020-09-01T00:00:00"/>
    <x v="1"/>
  </r>
  <r>
    <n v="2020"/>
    <s v="September"/>
    <n v="2007"/>
    <n v="155.6"/>
    <n v="456.70000000000005"/>
    <n v="331"/>
    <n v="1046.4000000000001"/>
    <n v="9"/>
    <d v="2020-09-01T00:00:00"/>
    <x v="1"/>
  </r>
  <r>
    <n v="2020"/>
    <s v="October"/>
    <n v="2030.9"/>
    <n v="159.5"/>
    <n v="465.8"/>
    <n v="335.1"/>
    <n v="1070.1999999999998"/>
    <n v="10"/>
    <d v="2020-10-01T00:00:00"/>
    <x v="1"/>
  </r>
  <r>
    <n v="2020"/>
    <s v="October"/>
    <n v="2080.1999999999998"/>
    <n v="151"/>
    <n v="449.3"/>
    <n v="330.7"/>
    <n v="1019.7"/>
    <n v="10"/>
    <d v="2020-10-01T00:00:00"/>
    <x v="1"/>
  </r>
  <r>
    <n v="2020"/>
    <s v="October"/>
    <n v="2048.6000000000004"/>
    <n v="156.30000000000001"/>
    <n v="458.1"/>
    <n v="330.8"/>
    <n v="1047.3"/>
    <n v="10"/>
    <d v="2020-10-01T00:00:00"/>
    <x v="1"/>
  </r>
  <r>
    <n v="2020"/>
    <s v="November"/>
    <n v="2082.4"/>
    <n v="160.4"/>
    <n v="467.1"/>
    <n v="337"/>
    <n v="1072.4000000000001"/>
    <n v="11"/>
    <d v="2020-11-01T00:00:00"/>
    <x v="1"/>
  </r>
  <r>
    <n v="2020"/>
    <s v="November"/>
    <n v="2120.6999999999998"/>
    <n v="152"/>
    <n v="451.70000000000005"/>
    <n v="333.20000000000005"/>
    <n v="1021.0999999999999"/>
    <n v="11"/>
    <d v="2020-11-01T00:00:00"/>
    <x v="1"/>
  </r>
  <r>
    <n v="2020"/>
    <s v="November"/>
    <n v="2095.6"/>
    <n v="157.19999999999999"/>
    <n v="460.20000000000005"/>
    <n v="333.20000000000005"/>
    <n v="1049.2"/>
    <n v="11"/>
    <d v="2020-11-01T00:00:00"/>
    <x v="1"/>
  </r>
  <r>
    <n v="2020"/>
    <s v="December"/>
    <n v="2100.5"/>
    <n v="161.6"/>
    <n v="470"/>
    <n v="337.5"/>
    <n v="1076.5"/>
    <n v="12"/>
    <d v="2020-12-01T00:00:00"/>
    <x v="1"/>
  </r>
  <r>
    <n v="2020"/>
    <s v="December"/>
    <n v="2125.4"/>
    <n v="152.9"/>
    <n v="453.20000000000005"/>
    <n v="334.5"/>
    <n v="1024"/>
    <n v="12"/>
    <d v="2020-12-01T00:00:00"/>
    <x v="1"/>
  </r>
  <r>
    <n v="2020"/>
    <s v="December"/>
    <n v="2109.1"/>
    <n v="158.30000000000001"/>
    <n v="462.4"/>
    <n v="333.9"/>
    <n v="1052.7"/>
    <n v="12"/>
    <d v="2020-12-01T00:00:00"/>
    <x v="1"/>
  </r>
  <r>
    <n v="2021"/>
    <s v="January"/>
    <n v="2065.6999999999998"/>
    <n v="162.5"/>
    <n v="472.1"/>
    <n v="339.7"/>
    <n v="1080.2"/>
    <n v="1"/>
    <d v="2021-01-01T00:00:00"/>
    <x v="1"/>
  </r>
  <r>
    <n v="2021"/>
    <s v="January"/>
    <n v="2097"/>
    <n v="154.1"/>
    <n v="456.70000000000005"/>
    <n v="337.20000000000005"/>
    <n v="1027.8999999999999"/>
    <n v="1"/>
    <d v="2021-01-01T00:00:00"/>
    <x v="1"/>
  </r>
  <r>
    <n v="2021"/>
    <s v="January"/>
    <n v="2076.5"/>
    <n v="159.30000000000001"/>
    <n v="464.8"/>
    <n v="336.1"/>
    <n v="1056.4000000000001"/>
    <n v="1"/>
    <d v="2021-01-01T00:00:00"/>
    <x v="1"/>
  </r>
  <r>
    <n v="2021"/>
    <s v="February"/>
    <n v="2025.3"/>
    <n v="164.3"/>
    <n v="477.80000000000007"/>
    <n v="343.5"/>
    <n v="1088.8000000000002"/>
    <n v="2"/>
    <d v="2021-02-01T00:00:00"/>
    <x v="1"/>
  </r>
  <r>
    <n v="2021"/>
    <s v="February"/>
    <n v="2066"/>
    <n v="156.30000000000001"/>
    <n v="465.5"/>
    <n v="340.6"/>
    <n v="1037.2"/>
    <n v="2"/>
    <d v="2021-02-01T00:00:00"/>
    <x v="1"/>
  </r>
  <r>
    <n v="2021"/>
    <s v="February"/>
    <n v="2039.3000000000002"/>
    <n v="161.30000000000001"/>
    <n v="471.70000000000005"/>
    <n v="339.8"/>
    <n v="1065.6000000000001"/>
    <n v="2"/>
    <d v="2021-02-01T00:00:00"/>
    <x v="1"/>
  </r>
  <r>
    <n v="2021"/>
    <s v="March"/>
    <n v="2025.7"/>
    <n v="164.6"/>
    <n v="479.7"/>
    <n v="343.9"/>
    <n v="1089.4000000000001"/>
    <n v="3"/>
    <d v="2021-03-01T00:00:00"/>
    <x v="1"/>
  </r>
  <r>
    <n v="2021"/>
    <s v="March"/>
    <n v="2064.4999999999995"/>
    <n v="156.9"/>
    <n v="472.30000000000007"/>
    <n v="342.1"/>
    <n v="1040.1999999999998"/>
    <n v="3"/>
    <d v="2021-03-01T00:00:00"/>
    <x v="1"/>
  </r>
  <r>
    <n v="2021"/>
    <s v="March"/>
    <n v="2039.3999999999999"/>
    <n v="161.69999999999999"/>
    <n v="475.59999999999997"/>
    <n v="340.7"/>
    <n v="1067.0999999999999"/>
    <n v="3"/>
    <d v="2021-03-01T00:00:00"/>
    <x v="1"/>
  </r>
  <r>
    <n v="2021"/>
    <s v="April"/>
    <n v="2049.5"/>
    <n v="165.3"/>
    <n v="481.5"/>
    <n v="345.4"/>
    <n v="1095.5"/>
    <n v="4"/>
    <d v="2021-04-01T00:00:00"/>
    <x v="1"/>
  </r>
  <r>
    <n v="2021"/>
    <s v="April"/>
    <n v="2089.6"/>
    <n v="157.5"/>
    <n v="473.9"/>
    <n v="343.5"/>
    <n v="1045.4000000000001"/>
    <n v="4"/>
    <d v="2021-04-01T00:00:00"/>
    <x v="1"/>
  </r>
  <r>
    <n v="2021"/>
    <s v="April"/>
    <n v="2064.1"/>
    <n v="162.30000000000001"/>
    <n v="477.3"/>
    <n v="342"/>
    <n v="1072.8000000000002"/>
    <n v="4"/>
    <d v="2021-04-01T00:00:00"/>
    <x v="1"/>
  </r>
  <r>
    <n v="2021"/>
    <s v="May"/>
    <n v="2095.2999999999997"/>
    <n v="169.1"/>
    <n v="490.9"/>
    <n v="349.6"/>
    <n v="1122.8"/>
    <n v="5"/>
    <d v="2021-05-01T00:00:00"/>
    <x v="1"/>
  </r>
  <r>
    <n v="2021"/>
    <s v="May"/>
    <n v="2124.7000000000003"/>
    <n v="160.4"/>
    <n v="473.70000000000005"/>
    <n v="350.79999999999995"/>
    <n v="1055.7"/>
    <n v="5"/>
    <d v="2021-05-01T00:00:00"/>
    <x v="1"/>
  </r>
  <r>
    <n v="2021"/>
    <s v="May"/>
    <n v="2105.7000000000003"/>
    <n v="165.8"/>
    <n v="482.2"/>
    <n v="347.70000000000005"/>
    <n v="1093.3"/>
    <n v="5"/>
    <d v="2021-05-01T00:00:00"/>
    <x v="1"/>
  </r>
  <r>
    <n v="2021"/>
    <s v="June"/>
    <n v="2122.6"/>
    <n v="169.7"/>
    <n v="489.40000000000003"/>
    <n v="349.5"/>
    <n v="1124.0999999999999"/>
    <n v="6"/>
    <d v="2021-06-01T00:00:00"/>
    <x v="1"/>
  </r>
  <r>
    <n v="2021"/>
    <s v="June"/>
    <n v="2154.1999999999998"/>
    <n v="160.80000000000001"/>
    <n v="474.70000000000005"/>
    <n v="346.29999999999995"/>
    <n v="1061.3000000000002"/>
    <n v="6"/>
    <d v="2021-06-01T00:00:00"/>
    <x v="1"/>
  </r>
  <r>
    <n v="2021"/>
    <s v="June"/>
    <n v="2133.9"/>
    <n v="166.3"/>
    <n v="482"/>
    <n v="345.70000000000005"/>
    <n v="1096.5999999999999"/>
    <n v="6"/>
    <d v="2021-06-01T00:00:00"/>
    <x v="1"/>
  </r>
  <r>
    <n v="2021"/>
    <s v="July"/>
    <n v="2132.4"/>
    <n v="170.4"/>
    <n v="491.2"/>
    <n v="350.4"/>
    <n v="1133"/>
    <n v="7"/>
    <d v="2021-07-01T00:00:00"/>
    <x v="1"/>
  </r>
  <r>
    <n v="2021"/>
    <s v="July"/>
    <n v="2171.8000000000002"/>
    <n v="161.5"/>
    <n v="479.5"/>
    <n v="346.7"/>
    <n v="1070.0999999999999"/>
    <n v="7"/>
    <d v="2021-07-01T00:00:00"/>
    <x v="1"/>
  </r>
  <r>
    <n v="2021"/>
    <s v="July"/>
    <n v="2147"/>
    <n v="167"/>
    <n v="485.4"/>
    <n v="346.5"/>
    <n v="1105.3"/>
    <n v="7"/>
    <d v="2021-07-01T00:00:00"/>
    <x v="1"/>
  </r>
  <r>
    <n v="2021"/>
    <s v="August"/>
    <n v="2130.8000000000002"/>
    <n v="171.1"/>
    <n v="492.7"/>
    <n v="351.29999999999995"/>
    <n v="1138.0999999999999"/>
    <n v="8"/>
    <d v="2021-08-01T00:00:00"/>
    <x v="1"/>
  </r>
  <r>
    <n v="2021"/>
    <s v="August"/>
    <n v="2157.9"/>
    <n v="162.80000000000001"/>
    <n v="483.19999999999993"/>
    <n v="350.2"/>
    <n v="1079.9000000000001"/>
    <n v="8"/>
    <d v="2021-08-01T00:00:00"/>
    <x v="1"/>
  </r>
  <r>
    <n v="2021"/>
    <s v="August"/>
    <n v="2142"/>
    <n v="168.4"/>
    <n v="488.5"/>
    <n v="349.7"/>
    <n v="1114.5"/>
    <n v="8"/>
    <d v="2021-08-01T00:00:00"/>
    <x v="1"/>
  </r>
  <r>
    <n v="2021"/>
    <s v="September"/>
    <n v="2133.6"/>
    <n v="171.9"/>
    <n v="494.29999999999995"/>
    <n v="353.2"/>
    <n v="1141.5"/>
    <n v="9"/>
    <d v="2021-09-01T00:00:00"/>
    <x v="1"/>
  </r>
  <r>
    <n v="2021"/>
    <s v="September"/>
    <n v="2157.9"/>
    <n v="162.80000000000001"/>
    <n v="483.2"/>
    <n v="350.4"/>
    <n v="1080.1999999999998"/>
    <n v="9"/>
    <d v="2021-09-01T00:00:00"/>
    <x v="1"/>
  </r>
  <r>
    <n v="2021"/>
    <s v="September"/>
    <n v="2142"/>
    <n v="168.4"/>
    <n v="488.4"/>
    <n v="349.79999999999995"/>
    <n v="1114.7"/>
    <n v="9"/>
    <d v="2021-09-01T00:00:00"/>
    <x v="1"/>
  </r>
  <r>
    <n v="2021"/>
    <s v="October"/>
    <n v="2164.1999999999998"/>
    <n v="172.5"/>
    <n v="498.1"/>
    <n v="354.4"/>
    <n v="1149.3"/>
    <n v="10"/>
    <d v="2021-10-01T00:00:00"/>
    <x v="1"/>
  </r>
  <r>
    <n v="2021"/>
    <s v="October"/>
    <n v="2198.4000000000005"/>
    <n v="163.5"/>
    <n v="486.09999999999997"/>
    <n v="352.1"/>
    <n v="1087.3"/>
    <n v="10"/>
    <d v="2021-10-01T00:00:00"/>
    <x v="1"/>
  </r>
  <r>
    <n v="2021"/>
    <s v="October"/>
    <n v="2175.5"/>
    <n v="169.1"/>
    <n v="491.69999999999993"/>
    <n v="351.29999999999995"/>
    <n v="1122.2"/>
    <n v="10"/>
    <d v="2021-10-01T00:00:00"/>
    <x v="1"/>
  </r>
  <r>
    <n v="2021"/>
    <s v="November"/>
    <n v="2182"/>
    <n v="173.4"/>
    <n v="498.8"/>
    <n v="355.20000000000005"/>
    <n v="1155.5999999999999"/>
    <n v="11"/>
    <d v="2021-11-01T00:00:00"/>
    <x v="1"/>
  </r>
  <r>
    <n v="2021"/>
    <s v="November"/>
    <n v="2217.8999999999996"/>
    <n v="164.2"/>
    <n v="486.59999999999997"/>
    <n v="353.7"/>
    <n v="1092.8"/>
    <n v="11"/>
    <d v="2021-11-01T00:00:00"/>
    <x v="1"/>
  </r>
  <r>
    <n v="2021"/>
    <s v="November"/>
    <n v="2194.1"/>
    <n v="169.9"/>
    <n v="492.40000000000003"/>
    <n v="352.70000000000005"/>
    <n v="1128.1000000000001"/>
    <n v="11"/>
    <d v="2021-11-01T00:00:00"/>
    <x v="1"/>
  </r>
  <r>
    <n v="2021"/>
    <s v="December"/>
    <n v="2168.1999999999998"/>
    <n v="174"/>
    <n v="498.7"/>
    <n v="355.3"/>
    <n v="1163.1000000000001"/>
    <n v="12"/>
    <d v="2021-12-01T00:00:00"/>
    <x v="1"/>
  </r>
  <r>
    <n v="2021"/>
    <s v="December"/>
    <n v="2206.3000000000002"/>
    <n v="165.1"/>
    <n v="485.70000000000005"/>
    <n v="354.4"/>
    <n v="1098.7"/>
    <n v="12"/>
    <d v="2021-12-01T00:00:00"/>
    <x v="1"/>
  </r>
  <r>
    <n v="2021"/>
    <s v="December"/>
    <n v="2180.9"/>
    <n v="170.6"/>
    <n v="491.9"/>
    <n v="353"/>
    <n v="1134.6999999999998"/>
    <n v="12"/>
    <d v="2021-12-01T00:00:00"/>
    <x v="1"/>
  </r>
  <r>
    <n v="2022"/>
    <s v="January"/>
    <n v="2153"/>
    <n v="174.7"/>
    <n v="500.20000000000005"/>
    <n v="355.6"/>
    <n v="1170.7"/>
    <n v="1"/>
    <d v="2022-01-01T00:00:00"/>
    <x v="1"/>
  </r>
  <r>
    <n v="2022"/>
    <s v="January"/>
    <n v="2186.6999999999998"/>
    <n v="166.1"/>
    <n v="487.1"/>
    <n v="354.8"/>
    <n v="1106.3"/>
    <n v="1"/>
    <d v="2022-01-01T00:00:00"/>
    <x v="1"/>
  </r>
  <r>
    <n v="2022"/>
    <s v="January"/>
    <n v="2164.1999999999998"/>
    <n v="171.4"/>
    <n v="493.4"/>
    <n v="353.4"/>
    <n v="1142.4000000000001"/>
    <n v="1"/>
    <d v="2022-01-01T00:00:00"/>
    <x v="1"/>
  </r>
  <r>
    <n v="2022"/>
    <s v="February"/>
    <n v="2150.4"/>
    <n v="175.3"/>
    <n v="503.2"/>
    <n v="357"/>
    <n v="1177.5"/>
    <n v="2"/>
    <d v="2022-02-01T00:00:00"/>
    <x v="1"/>
  </r>
  <r>
    <n v="2022"/>
    <s v="February"/>
    <n v="2183.5"/>
    <n v="167.2"/>
    <n v="490.5"/>
    <n v="356"/>
    <n v="1113.6000000000001"/>
    <n v="2"/>
    <d v="2022-02-01T00:00:00"/>
    <x v="1"/>
  </r>
  <r>
    <n v="2022"/>
    <s v="February"/>
    <n v="2161.2000000000003"/>
    <n v="172.2"/>
    <n v="496.6"/>
    <n v="354.9"/>
    <n v="1149.4000000000001"/>
    <n v="2"/>
    <d v="2022-02-01T00:00:00"/>
    <x v="1"/>
  </r>
  <r>
    <n v="2022"/>
    <s v="March"/>
    <n v="2179.1000000000004"/>
    <n v="176"/>
    <n v="504.80000000000007"/>
    <n v="358.9"/>
    <n v="1187.9000000000001"/>
    <n v="3"/>
    <d v="2022-03-01T00:00:00"/>
    <x v="1"/>
  </r>
  <r>
    <n v="2022"/>
    <s v="March"/>
    <n v="2196.3000000000002"/>
    <n v="168.2"/>
    <n v="492.5"/>
    <n v="358.3"/>
    <n v="1124.8"/>
    <n v="3"/>
    <d v="2022-03-01T00:00:00"/>
    <x v="1"/>
  </r>
  <r>
    <n v="2022"/>
    <s v="March"/>
    <n v="2184.2000000000003"/>
    <n v="173"/>
    <n v="498.5"/>
    <n v="357"/>
    <n v="1160.2999999999997"/>
    <n v="3"/>
    <d v="2022-03-01T00:00:00"/>
    <x v="1"/>
  </r>
  <r>
    <n v="2022"/>
    <s v="April"/>
    <n v="2206.6"/>
    <n v="177"/>
    <n v="511.20000000000005"/>
    <n v="360"/>
    <n v="1202.8000000000002"/>
    <n v="4"/>
    <d v="2022-04-01T00:00:00"/>
    <x v="1"/>
  </r>
  <r>
    <n v="2022"/>
    <s v="April"/>
    <n v="2230.4"/>
    <n v="169"/>
    <n v="501.5"/>
    <n v="359.29999999999995"/>
    <n v="1139.8"/>
    <n v="4"/>
    <d v="2022-04-01T00:00:00"/>
    <x v="1"/>
  </r>
  <r>
    <n v="2022"/>
    <s v="April"/>
    <n v="2214.3000000000002"/>
    <n v="174"/>
    <n v="506.1"/>
    <n v="358.3"/>
    <n v="1175.4000000000001"/>
    <n v="4"/>
    <d v="2022-04-01T00:00:00"/>
    <x v="1"/>
  </r>
  <r>
    <n v="2022"/>
    <s v="May"/>
    <n v="2226.8000000000002"/>
    <n v="177.7"/>
    <n v="514.6"/>
    <n v="360.5"/>
    <n v="1210.9000000000001"/>
    <n v="5"/>
    <d v="2022-05-01T00:00:00"/>
    <x v="1"/>
  </r>
  <r>
    <n v="2022"/>
    <s v="May"/>
    <n v="2262.2000000000003"/>
    <n v="170.1"/>
    <n v="506.2"/>
    <n v="360.7"/>
    <n v="1146.1999999999998"/>
    <n v="5"/>
    <d v="2022-05-01T00:00:00"/>
    <x v="1"/>
  </r>
  <r>
    <n v="2022"/>
    <s v="May"/>
    <n v="2238.9000000000005"/>
    <n v="174.8"/>
    <n v="510"/>
    <n v="359.2"/>
    <n v="1182.6999999999998"/>
    <n v="5"/>
    <d v="2022-05-01T00:00:00"/>
    <x v="1"/>
  </r>
  <r>
    <n v="2022"/>
    <s v="June"/>
    <n v="2248.3000000000002"/>
    <n v="178.2"/>
    <n v="516.1"/>
    <n v="360.9"/>
    <n v="1216.0999999999999"/>
    <n v="6"/>
    <d v="2022-06-01T00:00:00"/>
    <x v="1"/>
  </r>
  <r>
    <n v="2022"/>
    <s v="June"/>
    <n v="2287.5"/>
    <n v="170.9"/>
    <n v="508.20000000000005"/>
    <n v="362.4"/>
    <n v="1150.7"/>
    <n v="6"/>
    <d v="2022-06-01T00:00:00"/>
    <x v="1"/>
  </r>
  <r>
    <n v="2022"/>
    <s v="June"/>
    <n v="2261.9"/>
    <n v="175.4"/>
    <n v="511.8"/>
    <n v="360.1"/>
    <n v="1187.4000000000001"/>
    <n v="6"/>
    <d v="2022-06-01T00:00:00"/>
    <x v="1"/>
  </r>
  <r>
    <n v="2022"/>
    <s v="July"/>
    <n v="2252.5"/>
    <n v="178.8"/>
    <n v="522.09999999999991"/>
    <n v="361.79999999999995"/>
    <n v="1223.0999999999999"/>
    <n v="7"/>
    <d v="2022-07-01T00:00:00"/>
    <x v="1"/>
  </r>
  <r>
    <n v="2022"/>
    <s v="July"/>
    <n v="2291.6"/>
    <n v="171.7"/>
    <n v="516.4"/>
    <n v="363.2"/>
    <n v="1157"/>
    <n v="7"/>
    <d v="2022-07-01T00:00:00"/>
    <x v="1"/>
  </r>
  <r>
    <n v="2022"/>
    <s v="July"/>
    <n v="2266.3000000000002"/>
    <n v="176.1"/>
    <n v="518.79999999999995"/>
    <n v="360.9"/>
    <n v="1194.0000000000002"/>
    <n v="7"/>
    <d v="2022-07-01T00:00:00"/>
    <x v="1"/>
  </r>
  <r>
    <n v="2022"/>
    <s v="August"/>
    <n v="2255.7999999999997"/>
    <n v="179.4"/>
    <n v="523.79999999999995"/>
    <n v="363"/>
    <n v="1230.5"/>
    <n v="8"/>
    <d v="2022-08-01T00:00:00"/>
    <x v="1"/>
  </r>
  <r>
    <n v="2022"/>
    <s v="August"/>
    <n v="2293.6999999999998"/>
    <n v="172.6"/>
    <n v="517.29999999999995"/>
    <n v="363.79999999999995"/>
    <n v="1164"/>
    <n v="8"/>
    <d v="2022-08-01T00:00:00"/>
    <x v="1"/>
  </r>
  <r>
    <n v="2022"/>
    <s v="August"/>
    <n v="2269.2000000000003"/>
    <n v="176.8"/>
    <n v="520.1"/>
    <n v="361.9"/>
    <n v="1201.3999999999999"/>
    <n v="8"/>
    <d v="2022-08-01T00:00:00"/>
    <x v="1"/>
  </r>
  <r>
    <n v="2022"/>
    <s v="September"/>
    <n v="2267.8000000000002"/>
    <n v="180.2"/>
    <n v="525.4"/>
    <n v="364.5"/>
    <n v="1236.8999999999999"/>
    <n v="9"/>
    <d v="2022-09-01T00:00:00"/>
    <x v="1"/>
  </r>
  <r>
    <n v="2022"/>
    <s v="September"/>
    <n v="2306.4"/>
    <n v="173.8"/>
    <n v="519.6"/>
    <n v="365.5"/>
    <n v="1170.1000000000001"/>
    <n v="9"/>
    <d v="2022-09-01T00:00:00"/>
    <x v="1"/>
  </r>
  <r>
    <n v="2022"/>
    <s v="September"/>
    <n v="2280.9"/>
    <n v="177.8"/>
    <n v="522.1"/>
    <n v="363.5"/>
    <n v="1207.5000000000002"/>
    <n v="9"/>
    <d v="2022-09-01T00:00:00"/>
    <x v="1"/>
  </r>
  <r>
    <n v="2022"/>
    <s v="October"/>
    <n v="2284.5"/>
    <n v="181.2"/>
    <n v="528.5"/>
    <n v="365.5"/>
    <n v="1244.0999999999999"/>
    <n v="10"/>
    <d v="2022-10-01T00:00:00"/>
    <x v="1"/>
  </r>
  <r>
    <n v="2022"/>
    <s v="October"/>
    <n v="2322.3000000000002"/>
    <n v="174.7"/>
    <n v="522.4"/>
    <n v="366.4"/>
    <n v="1175.5999999999999"/>
    <n v="10"/>
    <d v="2022-10-01T00:00:00"/>
    <x v="1"/>
  </r>
  <r>
    <n v="2022"/>
    <s v="October"/>
    <n v="2297.3000000000002"/>
    <n v="178.7"/>
    <n v="525.1"/>
    <n v="364.5"/>
    <n v="1214.0999999999999"/>
    <n v="10"/>
    <d v="2022-10-01T00:00:00"/>
    <x v="1"/>
  </r>
  <r>
    <n v="2022"/>
    <s v="November"/>
    <n v="2287.6999999999998"/>
    <n v="182.3"/>
    <n v="530.6"/>
    <n v="366.3"/>
    <n v="1250.3"/>
    <n v="11"/>
    <d v="2022-11-01T00:00:00"/>
    <x v="1"/>
  </r>
  <r>
    <n v="2022"/>
    <s v="November"/>
    <n v="2314.4"/>
    <n v="175.8"/>
    <n v="523.6"/>
    <n v="367.29999999999995"/>
    <n v="1181.9000000000001"/>
    <n v="11"/>
    <d v="2022-11-01T00:00:00"/>
    <x v="1"/>
  </r>
  <r>
    <n v="2022"/>
    <s v="November"/>
    <n v="2296.8000000000002"/>
    <n v="179.8"/>
    <n v="526.79999999999995"/>
    <n v="365.4"/>
    <n v="1220.4999999999998"/>
    <n v="11"/>
    <d v="2022-11-01T00:00:00"/>
    <x v="1"/>
  </r>
  <r>
    <n v="2022"/>
    <s v="December"/>
    <n v="2277.1"/>
    <n v="183.5"/>
    <n v="530.79999999999995"/>
    <n v="367.1"/>
    <n v="1257.2"/>
    <n v="12"/>
    <d v="2022-12-01T00:00:00"/>
    <x v="1"/>
  </r>
  <r>
    <n v="2022"/>
    <s v="December"/>
    <n v="2295.7999999999997"/>
    <n v="177.2"/>
    <n v="523.09999999999991"/>
    <n v="368.2"/>
    <n v="1188.8"/>
    <n v="12"/>
    <d v="2022-12-01T00:00:00"/>
    <x v="1"/>
  </r>
  <r>
    <n v="2022"/>
    <s v="December"/>
    <n v="2283.4"/>
    <n v="181.1"/>
    <n v="526.79999999999995"/>
    <n v="366.20000000000005"/>
    <n v="1227.3"/>
    <n v="12"/>
    <d v="2022-12-01T00:00:00"/>
    <x v="1"/>
  </r>
  <r>
    <n v="2023"/>
    <s v="January"/>
    <n v="2283.2000000000003"/>
    <n v="184.7"/>
    <n v="533.09999999999991"/>
    <n v="368.70000000000005"/>
    <n v="1264.2"/>
    <n v="1"/>
    <d v="2023-01-01T00:00:00"/>
    <x v="1"/>
  </r>
  <r>
    <n v="2023"/>
    <s v="January"/>
    <n v="2310.2000000000003"/>
    <n v="178.5"/>
    <n v="524"/>
    <n v="369.4"/>
    <n v="1195.8000000000002"/>
    <n v="1"/>
    <d v="2023-01-01T00:00:00"/>
    <x v="1"/>
  </r>
  <r>
    <n v="2023"/>
    <s v="January"/>
    <n v="2292.6999999999998"/>
    <n v="182.3"/>
    <n v="528.40000000000009"/>
    <n v="367.7"/>
    <n v="1234.1999999999998"/>
    <n v="1"/>
    <d v="2023-01-01T00:00:00"/>
    <x v="1"/>
  </r>
  <r>
    <n v="2023"/>
    <s v="February"/>
    <n v="2265.6999999999998"/>
    <n v="186.6"/>
    <n v="533.6"/>
    <n v="371.1"/>
    <n v="1272.8000000000002"/>
    <n v="2"/>
    <d v="2023-02-01T00:00:00"/>
    <x v="1"/>
  </r>
  <r>
    <n v="2023"/>
    <s v="February"/>
    <n v="2303.1999999999998"/>
    <n v="180.8"/>
    <n v="528.79999999999995"/>
    <n v="371.1"/>
    <n v="1205.9000000000001"/>
    <n v="2"/>
    <d v="2023-02-01T00:00:00"/>
    <x v="1"/>
  </r>
  <r>
    <n v="2023"/>
    <s v="February"/>
    <n v="2279.1"/>
    <n v="184.4"/>
    <n v="530.6"/>
    <n v="369.8"/>
    <n v="1243.5"/>
    <n v="2"/>
    <d v="2023-02-01T00:00:00"/>
    <x v="1"/>
  </r>
  <r>
    <n v="2023"/>
    <s v="March"/>
    <n v="2265.8000000000002"/>
    <n v="186.6"/>
    <n v="533.4"/>
    <n v="371.20000000000005"/>
    <n v="1272.8000000000002"/>
    <n v="3"/>
    <d v="2023-03-01T00:00:00"/>
    <x v="1"/>
  </r>
  <r>
    <n v="2023"/>
    <s v="March"/>
    <n v="2303.4"/>
    <n v="180.8"/>
    <n v="528.6"/>
    <n v="371.1"/>
    <n v="1205.8999999999999"/>
    <n v="3"/>
    <d v="2023-03-01T00:00:00"/>
    <x v="1"/>
  </r>
  <r>
    <n v="2023"/>
    <s v="March"/>
    <n v="2279.1999999999998"/>
    <n v="184.4"/>
    <n v="530.4"/>
    <n v="369.8"/>
    <n v="1243.3999999999999"/>
    <n v="3"/>
    <d v="2023-03-01T00:00:00"/>
    <x v="1"/>
  </r>
  <r>
    <n v="2023"/>
    <s v="April"/>
    <n v="2274.1999999999998"/>
    <n v="187.2"/>
    <n v="536.1"/>
    <n v="372.7"/>
    <n v="1279.4000000000001"/>
    <n v="4"/>
    <d v="2023-04-01T00:00:00"/>
    <x v="1"/>
  </r>
  <r>
    <n v="2023"/>
    <s v="April"/>
    <n v="2317.7000000000003"/>
    <n v="181.5"/>
    <n v="531.5"/>
    <n v="372.3"/>
    <n v="1212.6000000000001"/>
    <n v="4"/>
    <d v="2023-04-01T00:00:00"/>
    <x v="1"/>
  </r>
  <r>
    <n v="2023"/>
    <s v="April"/>
    <n v="2289.6000000000004"/>
    <n v="185"/>
    <n v="533.29999999999995"/>
    <n v="371.29999999999995"/>
    <n v="1249.9000000000001"/>
    <n v="4"/>
    <d v="2023-04-01T00:00:00"/>
    <x v="1"/>
  </r>
  <r>
    <n v="2023"/>
    <s v="May"/>
    <n v="2290.7000000000007"/>
    <n v="187.8"/>
    <n v="538.40000000000009"/>
    <n v="373.70000000000005"/>
    <n v="1283.8000000000002"/>
    <n v="5"/>
    <d v="2023-05-01T00:00:00"/>
    <x v="1"/>
  </r>
  <r>
    <n v="2023"/>
    <s v="May"/>
    <n v="2335.1"/>
    <n v="182.2"/>
    <n v="533.79999999999995"/>
    <n v="373.4"/>
    <n v="1216.3999999999999"/>
    <n v="5"/>
    <d v="2023-05-01T00:00:00"/>
    <x v="1"/>
  </r>
  <r>
    <n v="2023"/>
    <s v="May"/>
    <n v="2306.9"/>
    <n v="185.7"/>
    <n v="535.5"/>
    <n v="372.2"/>
    <n v="1254.1000000000001"/>
    <n v="5"/>
    <d v="2023-05-01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FB5F4-98F1-4B8D-A3A3-050C02ABA03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4:O8" firstHeaderRow="0" firstDataRow="1" firstDataCol="1" rowPageCount="2" colPageCount="1"/>
  <pivotFields count="8">
    <pivotField axis="axisRow" showAll="0">
      <items count="4">
        <item x="0"/>
        <item x="2"/>
        <item x="1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item="10" hier="-1"/>
    <pageField fld="2" item="4" hier="-1"/>
  </pageFields>
  <dataFields count="5">
    <dataField name="Average of Food " fld="3" subtotal="average" baseField="0" baseItem="0"/>
    <dataField name="Average of Energy" fld="4" subtotal="average" baseField="0" baseItem="0"/>
    <dataField name="Average of Transport and communication" fld="5" subtotal="average" baseField="0" baseItem="0"/>
    <dataField name="Average of Education" fld="6" subtotal="average" baseField="0" baseItem="0"/>
    <dataField name="Average of Health" fld="7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5567F-A535-4F65-9688-2B7130E86D13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34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item="1" hier="-1"/>
  </pageFields>
  <dataFields count="1">
    <dataField name="Average of General index" fld="30" subtotal="average" baseField="1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43432-64DA-440F-9307-CDD253024E0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S5" firstHeaderRow="0" firstDataRow="1" firstDataCol="1"/>
  <pivotFields count="10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14"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 Food " fld="2" subtotal="average" baseField="9" baseItem="0"/>
    <dataField name="Average of Health" fld="3" subtotal="average" baseField="9" baseItem="0"/>
    <dataField name="Average of Essential" fld="4" subtotal="average" baseField="9" baseItem="0"/>
    <dataField name="Average of Luxury" fld="5" subtotal="average" baseField="9" baseItem="0"/>
    <dataField name="Average of Life style" fld="6" subtotal="average" baseField="9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1E763-F49C-4C68-B67F-2F48869F1F6F}" name="Table1" displayName="Table1" ref="A1:H373" totalsRowShown="0" headerRowDxfId="24" headerRowBorderDxfId="23" tableBorderDxfId="22" totalsRowBorderDxfId="21">
  <tableColumns count="8">
    <tableColumn id="1" xr3:uid="{DDF61150-2DBB-4201-8D9C-C42F5FA3AC97}" name="Sector" dataDxfId="20"/>
    <tableColumn id="2" xr3:uid="{40577277-A655-4DCB-A141-49FFE4E8394A}" name="Year" dataDxfId="19"/>
    <tableColumn id="3" xr3:uid="{F1EA01DB-1753-4794-ABF4-73BB6240DE3C}" name="Month" dataDxfId="18"/>
    <tableColumn id="4" xr3:uid="{4C5B481A-5C4E-4672-84A8-3AF0471E7106}" name="Food " dataDxfId="17"/>
    <tableColumn id="5" xr3:uid="{84CF1E48-D352-4C34-9C6A-C7D69ABF52C8}" name="Energy" dataDxfId="16"/>
    <tableColumn id="6" xr3:uid="{95FD7BE3-6B54-4201-98D1-0B9AE02F2A0D}" name="Transport and communication" dataDxfId="15"/>
    <tableColumn id="7" xr3:uid="{833C7CFC-44CE-4A50-8AAF-E876A3C0FAB6}" name="Education" dataDxfId="14"/>
    <tableColumn id="8" xr3:uid="{9DFD923F-7973-480F-9D54-0BE45EE606D5}" name="Health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80753-C919-4202-9B71-CA94A41930DC}" name="Table2" displayName="Table2" ref="D3:F9" totalsRowShown="0" headerRowDxfId="12" headerRowBorderDxfId="11" tableBorderDxfId="10" totalsRowBorderDxfId="9">
  <tableColumns count="3">
    <tableColumn id="1" xr3:uid="{9C978741-F33A-4455-A353-181E8D16BD32}" name="Year" dataDxfId="8"/>
    <tableColumn id="2" xr3:uid="{BBD8D123-507A-4395-9170-E72AD6130DEC}" name="Index" dataDxfId="7"/>
    <tableColumn id="3" xr3:uid="{E9A27F30-91D3-46C5-8793-0E1A3CB3DA9D}" name="%Increase" dataDxfId="6">
      <calculatedColumnFormula>((E4-E3)/E3)*100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05ABAB-D4F5-4A99-8414-EC29210BE619}" name="Table5" displayName="Table5" ref="A1:Q14" totalsRowShown="0" headerRowDxfId="5">
  <autoFilter ref="A1:Q14" xr:uid="{1B05ABAB-D4F5-4A99-8414-EC29210BE619}"/>
  <tableColumns count="17">
    <tableColumn id="1" xr3:uid="{9B4B4D55-00C8-4FF9-ACE6-B1F52D9EC7C2}" name="Sector"/>
    <tableColumn id="2" xr3:uid="{97202EA4-FA7C-4B91-B863-CC9B73F0464C}" name="Year"/>
    <tableColumn id="3" xr3:uid="{3213ED6F-D5B6-4643-A97E-139EF98FE18D}" name="Month"/>
    <tableColumn id="4" xr3:uid="{AEC693C2-52CF-474D-92E5-79F40996C731}" name="Cereals and products"/>
    <tableColumn id="5" xr3:uid="{5D0F959F-9091-4633-98FE-FF6664B1A043}" name="Meat and fish"/>
    <tableColumn id="6" xr3:uid="{5B94C536-C2EA-4CB2-A439-50E4908CDB95}" name="Egg"/>
    <tableColumn id="7" xr3:uid="{80A6B9BF-5F4D-465B-9257-35E25D06EACC}" name="Milk and products"/>
    <tableColumn id="8" xr3:uid="{433F6544-E2C8-4451-B031-0CA789D02101}" name="Oils and fats"/>
    <tableColumn id="9" xr3:uid="{085480CE-00AA-42FD-9463-81E10ACB9363}" name="Fruits"/>
    <tableColumn id="10" xr3:uid="{9D3D33BE-F617-4C13-AC78-27E064CACB25}" name="Vegetables"/>
    <tableColumn id="11" xr3:uid="{0B4E3F53-4D3D-40EB-BFE8-0D3C05AB6C5B}" name="Pulses and products"/>
    <tableColumn id="12" xr3:uid="{43C08E95-AB69-42A8-A638-BBBA604F5A89}" name="Sugar and Confectionery"/>
    <tableColumn id="13" xr3:uid="{8B468BA4-80B2-4CFA-9A77-484825015E22}" name="Spices"/>
    <tableColumn id="14" xr3:uid="{D3E8BF3F-4A2A-4F8D-844B-63B602FACC0F}" name="Non-alcoholic beverages"/>
    <tableColumn id="15" xr3:uid="{882A7CF6-E852-4427-88C1-CF5764888146}" name="Prepared meals, snacks, sweets etc."/>
    <tableColumn id="16" xr3:uid="{96F7CCB4-05F2-470A-ACAD-FFB860416B05}" name="Food and beverages"/>
    <tableColumn id="17" xr3:uid="{17AF2EED-67F4-4B52-A697-93B43E017FED}" name="Food Broader">
      <calculatedColumnFormula>SUM(D2:P2)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0E766-DC66-4F2F-BD17-D3F39565D128}" name="Table6" displayName="Table6" ref="A36:D49" totalsRowShown="0" headerRowDxfId="4">
  <autoFilter ref="A36:D49" xr:uid="{BFB0E766-DC66-4F2F-BD17-D3F39565D128}"/>
  <tableColumns count="4">
    <tableColumn id="1" xr3:uid="{7D84FE60-8454-411D-97BF-F6BC6360942D}" name="Year"/>
    <tableColumn id="2" xr3:uid="{6797F0F8-19C1-4BB6-A81E-F20C0E491B5B}" name="Month"/>
    <tableColumn id="3" xr3:uid="{0CE5EDF9-6862-4B67-9A48-34839DF9BEE2}" name="Food Broader"/>
    <tableColumn id="4" xr3:uid="{69836907-4D0D-4A7D-A393-3194956A4501}" name="% inflation">
      <calculatedColumnFormula>((C37-C36)/C36)*100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26B5D7-5678-4590-948F-B9E8A1DFD0C3}" name="Table7" displayName="Table7" ref="A1:L373" totalsRowShown="0" headerRowDxfId="3">
  <tableColumns count="12">
    <tableColumn id="1" xr3:uid="{D188DF03-BF88-49F5-94F0-96628CDE8D92}" name="Year"/>
    <tableColumn id="2" xr3:uid="{729AB1B0-63AB-4B0F-B376-3E68CF5BC129}" name="Month"/>
    <tableColumn id="3" xr3:uid="{842AF19C-2897-4ACE-921D-1C54C01F1EC2}" name=" Food "/>
    <tableColumn id="4" xr3:uid="{7C6097EC-49F8-4900-B247-6F07BA39C000}" name="Health"/>
    <tableColumn id="5" xr3:uid="{F8B20377-5C99-4D64-B858-EF5687EBB474}" name="Essential"/>
    <tableColumn id="6" xr3:uid="{BFAB2A7B-9261-4548-8739-CDACB43A14CD}" name="Luxury"/>
    <tableColumn id="7" xr3:uid="{0F73AF78-E4C1-439E-B6D3-F94526F56176}" name="Life style"/>
    <tableColumn id="8" xr3:uid="{431CA01F-4B61-431F-87C8-13720659C614}" name="Month2">
      <calculatedColumnFormula>MATCH(B2,{"January","February","March","April","May","June","July","August","September","October","November","December"},0)</calculatedColumnFormula>
    </tableColumn>
    <tableColumn id="9" xr3:uid="{088D5916-3544-4676-8E82-DBB52D1059C2}" name="Date" dataDxfId="2">
      <calculatedColumnFormula>DATE(A2,H2,1)</calculatedColumnFormula>
    </tableColumn>
    <tableColumn id="10" xr3:uid="{11C16482-5324-4FA1-944C-FD3BB3AD86B9}" name="Pre Or Post Covid">
      <calculatedColumnFormula>IF(I2&lt;DATE(2020,3,1),"Pre Covid","Post Covid")</calculatedColumnFormula>
    </tableColumn>
    <tableColumn id="11" xr3:uid="{33141F39-0C4A-4A00-9060-A0E0E7C9A9C0}" name="general Index"/>
    <tableColumn id="12" xr3:uid="{182A1D37-004B-4BD0-8FD5-27E644100009}" name="Covid Marker">
      <calculatedColumnFormula>IF(I2=DATE(2020,3,1),MAX(K2:K373),NA())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F7C4AD-2B4D-4DA1-AB0C-EDF3CF34B18F}" name="Table8" displayName="Table8" ref="A1:AK30" totalsRowShown="0">
  <autoFilter ref="A1:AK30" xr:uid="{96F7C4AD-2B4D-4DA1-AB0C-EDF3CF34B18F}"/>
  <tableColumns count="37">
    <tableColumn id="1" xr3:uid="{A03EA25A-C8EF-4699-B340-5ABBEB31D632}" name="Sector"/>
    <tableColumn id="2" xr3:uid="{75F47A68-953D-4295-88FF-689121CFCC4B}" name="Year"/>
    <tableColumn id="3" xr3:uid="{C06EE692-0021-4573-A130-EB276364EBF7}" name="Month"/>
    <tableColumn id="4" xr3:uid="{84B295CC-9101-402E-818D-5F5B3C52EA79}" name="Cereals and products"/>
    <tableColumn id="5" xr3:uid="{B86C708C-7039-4DAD-BC3A-A500B116554A}" name="Meat and fish"/>
    <tableColumn id="6" xr3:uid="{2848BF7F-3FBB-4DAD-8FDD-B18C6C2E687A}" name="Egg"/>
    <tableColumn id="7" xr3:uid="{FBF19EA4-7C4F-460F-A40A-BD5C91B2CCE9}" name="Milk and products"/>
    <tableColumn id="8" xr3:uid="{86B07B43-0E72-4E9E-AFBE-7E715DBD0B1F}" name="Oils and fats"/>
    <tableColumn id="9" xr3:uid="{551B697E-5919-4CE0-A0FE-4E0FE6D77D74}" name="Fruits"/>
    <tableColumn id="10" xr3:uid="{57211993-49FA-472E-A810-26C2C3D2C74C}" name="Vegetables"/>
    <tableColumn id="11" xr3:uid="{4C2D0104-7246-46AE-B424-1380938C9924}" name="Pulses and products"/>
    <tableColumn id="12" xr3:uid="{25143B5A-A99E-42AB-9CE6-A65F3E73AFAA}" name="Sugar and Confectionery"/>
    <tableColumn id="13" xr3:uid="{B6561981-AE10-48A7-A93A-6F1E5B4E2C40}" name="Spices"/>
    <tableColumn id="14" xr3:uid="{E30591EA-A755-4707-AFEB-1287BD23E4F6}" name="Non-alcoholic beverages"/>
    <tableColumn id="15" xr3:uid="{01E87675-CA01-4C62-BB33-4FE58C6B599C}" name="Prepared meals, snacks, sweets etc."/>
    <tableColumn id="16" xr3:uid="{A753B0B4-CCE8-44D6-A054-4B7A8AA0EF4A}" name="Food and beverages"/>
    <tableColumn id="17" xr3:uid="{17C39B5A-1413-46B0-A128-B70C74870633}" name="Pan, tobacco and intoxicants"/>
    <tableColumn id="18" xr3:uid="{4B416DEC-A964-4776-AD14-F9822DB05534}" name="Clothing"/>
    <tableColumn id="19" xr3:uid="{977D1D0D-671C-4827-A61B-52F599C0F4D8}" name="Footwear"/>
    <tableColumn id="20" xr3:uid="{0E04886E-248A-444A-8EA1-54E7DE4781B4}" name="Clothing and footwear"/>
    <tableColumn id="21" xr3:uid="{42D82208-E61C-46F0-BAD5-161370CFB7E8}" name="Housing"/>
    <tableColumn id="22" xr3:uid="{360C80F4-F4BF-4240-AAD6-412BD48493D2}" name="Housing_New" dataDxfId="1"/>
    <tableColumn id="23" xr3:uid="{DE438398-A756-4AD6-83A8-CF19CA9DA358}" name="Fuel and light"/>
    <tableColumn id="24" xr3:uid="{B3882CF7-02C4-4EDC-AC1D-79E3264FA800}" name="Household goods and services"/>
    <tableColumn id="25" xr3:uid="{ABABBC36-2909-4E15-A947-CC1B69558EC2}" name="Health"/>
    <tableColumn id="26" xr3:uid="{FA42A1A8-D214-4D96-8872-E157643222B9}" name="Transport and communication"/>
    <tableColumn id="27" xr3:uid="{0F6F7F3E-AF1D-4C2B-86B7-FB3D3BAAEC3B}" name="Recreation and amusement"/>
    <tableColumn id="28" xr3:uid="{9E1BA50B-3440-48B9-BD3F-5E24EEE4F434}" name="Education"/>
    <tableColumn id="29" xr3:uid="{144ADF64-7402-48F3-AC70-7E75B17F4DF5}" name="Personal care and effects"/>
    <tableColumn id="30" xr3:uid="{508DDC20-1F12-4639-B307-DA658E395A5C}" name="Miscellaneous"/>
    <tableColumn id="31" xr3:uid="{97CAA653-BF7E-4311-A593-5F076911A384}" name="General index"/>
    <tableColumn id="32" xr3:uid="{B45D5ACB-B62A-40D0-8E8F-21AD72376DE6}" name="Broder Food Category"/>
    <tableColumn id="33" xr3:uid="{B0357BEA-D79C-498E-B9C1-35F1106ECB74}" name="Clothing Footware"/>
    <tableColumn id="34" xr3:uid="{08A7CDC8-BD88-4D05-974C-38B8587084EA}" name="Luxury"/>
    <tableColumn id="35" xr3:uid="{9ADFAA0E-00D1-40E2-BC70-1A66E7E338A5}" name="Essential"/>
    <tableColumn id="36" xr3:uid="{4BE0B871-7EEA-4833-A49B-F01190F1D3C4}" name="Life style"/>
    <tableColumn id="37" xr3:uid="{1E8D5101-65CA-49B4-A4A2-47C003DD0510}" name="Crude O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5111-FA63-4084-8F6C-FB94D1256537}">
  <sheetPr filterMode="1"/>
  <dimension ref="A1:AJ373"/>
  <sheetViews>
    <sheetView topLeftCell="S301" workbookViewId="0">
      <selection sqref="A1:AJ373"/>
    </sheetView>
  </sheetViews>
  <sheetFormatPr defaultRowHeight="14.4" x14ac:dyDescent="0.3"/>
  <cols>
    <col min="21" max="21" width="7.44140625" bestFit="1" customWidth="1"/>
    <col min="22" max="22" width="12.21875" bestFit="1" customWidth="1"/>
    <col min="24" max="24" width="25.77734375" bestFit="1" customWidth="1"/>
    <col min="31" max="31" width="14.33203125" bestFit="1" customWidth="1"/>
    <col min="32" max="32" width="19.109375" bestFit="1" customWidth="1"/>
    <col min="33" max="33" width="16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46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47</v>
      </c>
      <c r="AG1" t="s">
        <v>48</v>
      </c>
      <c r="AH1" t="s">
        <v>51</v>
      </c>
      <c r="AI1" t="s">
        <v>72</v>
      </c>
      <c r="AJ1" t="s">
        <v>73</v>
      </c>
    </row>
    <row r="2" spans="1:36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V2" s="1">
        <f t="shared" ref="V2:V65" si="0">IF(ISBLANK(U2), U3, U2)</f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  <c r="AF2">
        <f t="shared" ref="AF2:AF65" si="1">SUM(D2:P2)</f>
        <v>1371.6999999999998</v>
      </c>
      <c r="AG2">
        <f t="shared" ref="AG2:AG65" si="2">SUM(R2:T2)</f>
        <v>318.70000000000005</v>
      </c>
      <c r="AH2">
        <f t="shared" ref="AH2:AH65" si="3">SUM(Q2,AA2)</f>
        <v>208.5</v>
      </c>
      <c r="AI2">
        <f t="shared" ref="AI2:AI65" si="4">SUM(V2,W2,AB2)</f>
        <v>309.60000000000002</v>
      </c>
      <c r="AJ2">
        <f t="shared" ref="AJ2:AJ65" si="5">SUM(R2,S2,T2,X2,Z2,AC2,AD2)</f>
        <v>735.50000000000011</v>
      </c>
    </row>
    <row r="3" spans="1:36" hidden="1" x14ac:dyDescent="0.3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 s="1">
        <f t="shared" si="0"/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  <c r="AF3">
        <f t="shared" si="1"/>
        <v>1376.4</v>
      </c>
      <c r="AG3">
        <f t="shared" si="2"/>
        <v>316.7</v>
      </c>
      <c r="AH3">
        <f t="shared" si="3"/>
        <v>208.10000000000002</v>
      </c>
      <c r="AI3">
        <f t="shared" si="4"/>
        <v>309.2</v>
      </c>
      <c r="AJ3">
        <f t="shared" si="5"/>
        <v>732.7</v>
      </c>
    </row>
    <row r="4" spans="1:36" hidden="1" x14ac:dyDescent="0.3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 s="1">
        <f t="shared" si="0"/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  <c r="AF4">
        <f t="shared" si="1"/>
        <v>1373.3000000000002</v>
      </c>
      <c r="AG4">
        <f t="shared" si="2"/>
        <v>318</v>
      </c>
      <c r="AH4">
        <f t="shared" si="3"/>
        <v>208.2</v>
      </c>
      <c r="AI4">
        <f t="shared" si="4"/>
        <v>309.39999999999998</v>
      </c>
      <c r="AJ4">
        <f t="shared" si="5"/>
        <v>734.4</v>
      </c>
    </row>
    <row r="5" spans="1:36" hidden="1" x14ac:dyDescent="0.3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V5" s="1">
        <f t="shared" si="0"/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  <c r="AF5">
        <f t="shared" si="1"/>
        <v>1380.3999999999999</v>
      </c>
      <c r="AG5">
        <f t="shared" si="2"/>
        <v>320.39999999999998</v>
      </c>
      <c r="AH5">
        <f t="shared" si="3"/>
        <v>209.6</v>
      </c>
      <c r="AI5">
        <f t="shared" si="4"/>
        <v>310.70000000000005</v>
      </c>
      <c r="AJ5">
        <f t="shared" si="5"/>
        <v>738.5</v>
      </c>
    </row>
    <row r="6" spans="1:36" hidden="1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 s="1">
        <f t="shared" si="0"/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  <c r="AF6">
        <f t="shared" si="1"/>
        <v>1390.6000000000001</v>
      </c>
      <c r="AG6">
        <f t="shared" si="2"/>
        <v>318.5</v>
      </c>
      <c r="AH6">
        <f t="shared" si="3"/>
        <v>209.3</v>
      </c>
      <c r="AI6">
        <f t="shared" si="4"/>
        <v>309.8</v>
      </c>
      <c r="AJ6">
        <f t="shared" si="5"/>
        <v>736.69999999999993</v>
      </c>
    </row>
    <row r="7" spans="1:36" hidden="1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 s="1">
        <f t="shared" si="0"/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  <c r="AF7">
        <f t="shared" si="1"/>
        <v>1384.2</v>
      </c>
      <c r="AG7">
        <f t="shared" si="2"/>
        <v>319.7</v>
      </c>
      <c r="AH7">
        <f t="shared" si="3"/>
        <v>209.3</v>
      </c>
      <c r="AI7">
        <f t="shared" si="4"/>
        <v>310.3</v>
      </c>
      <c r="AJ7">
        <f t="shared" si="5"/>
        <v>738</v>
      </c>
    </row>
    <row r="8" spans="1:36" hidden="1" x14ac:dyDescent="0.3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V8" s="1">
        <f t="shared" si="0"/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  <c r="AF8">
        <f t="shared" si="1"/>
        <v>1382.2</v>
      </c>
      <c r="AG8">
        <f t="shared" si="2"/>
        <v>321.89999999999998</v>
      </c>
      <c r="AH8">
        <f t="shared" si="3"/>
        <v>210.5</v>
      </c>
      <c r="AI8">
        <f t="shared" si="4"/>
        <v>310.8</v>
      </c>
      <c r="AJ8">
        <f t="shared" si="5"/>
        <v>741</v>
      </c>
    </row>
    <row r="9" spans="1:36" hidden="1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 s="1">
        <f t="shared" si="0"/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  <c r="AF9">
        <f t="shared" si="1"/>
        <v>1386.8</v>
      </c>
      <c r="AG9">
        <f t="shared" si="2"/>
        <v>320.2</v>
      </c>
      <c r="AH9">
        <f t="shared" si="3"/>
        <v>210.3</v>
      </c>
      <c r="AI9">
        <f t="shared" si="4"/>
        <v>310.2</v>
      </c>
      <c r="AJ9">
        <f t="shared" si="5"/>
        <v>740.5</v>
      </c>
    </row>
    <row r="10" spans="1:36" hidden="1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 s="1">
        <f t="shared" si="0"/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  <c r="AF10">
        <f t="shared" si="1"/>
        <v>1384.0000000000002</v>
      </c>
      <c r="AG10">
        <f t="shared" si="2"/>
        <v>321.2</v>
      </c>
      <c r="AH10">
        <f t="shared" si="3"/>
        <v>210.3</v>
      </c>
      <c r="AI10">
        <f t="shared" si="4"/>
        <v>310.5</v>
      </c>
      <c r="AJ10">
        <f t="shared" si="5"/>
        <v>740.9</v>
      </c>
    </row>
    <row r="11" spans="1:36" hidden="1" x14ac:dyDescent="0.3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V11" s="1">
        <f t="shared" si="0"/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  <c r="AF11">
        <f t="shared" si="1"/>
        <v>1385.8</v>
      </c>
      <c r="AG11">
        <f t="shared" si="2"/>
        <v>323.5</v>
      </c>
      <c r="AH11">
        <f t="shared" si="3"/>
        <v>211.6</v>
      </c>
      <c r="AI11">
        <f t="shared" si="4"/>
        <v>311.8</v>
      </c>
      <c r="AJ11">
        <f t="shared" si="5"/>
        <v>741.30000000000007</v>
      </c>
    </row>
    <row r="12" spans="1:36" hidden="1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 s="1">
        <f t="shared" si="0"/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  <c r="AF12">
        <f t="shared" si="1"/>
        <v>1397.6999999999998</v>
      </c>
      <c r="AG12">
        <f t="shared" si="2"/>
        <v>322</v>
      </c>
      <c r="AH12">
        <f t="shared" si="3"/>
        <v>212.5</v>
      </c>
      <c r="AI12">
        <f t="shared" si="4"/>
        <v>312.10000000000002</v>
      </c>
      <c r="AJ12">
        <f t="shared" si="5"/>
        <v>741.80000000000007</v>
      </c>
    </row>
    <row r="13" spans="1:36" hidden="1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 s="1">
        <f t="shared" si="0"/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  <c r="AF13">
        <f t="shared" si="1"/>
        <v>1390.2</v>
      </c>
      <c r="AG13">
        <f t="shared" si="2"/>
        <v>322.89999999999998</v>
      </c>
      <c r="AH13">
        <f t="shared" si="3"/>
        <v>211.7</v>
      </c>
      <c r="AI13">
        <f t="shared" si="4"/>
        <v>312</v>
      </c>
      <c r="AJ13">
        <f t="shared" si="5"/>
        <v>741.59999999999991</v>
      </c>
    </row>
    <row r="14" spans="1:36" hidden="1" x14ac:dyDescent="0.3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V14" s="1">
        <f t="shared" si="0"/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  <c r="AF14">
        <f t="shared" si="1"/>
        <v>1394</v>
      </c>
      <c r="AG14">
        <f t="shared" si="2"/>
        <v>325.29999999999995</v>
      </c>
      <c r="AH14">
        <f t="shared" si="3"/>
        <v>213.1</v>
      </c>
      <c r="AI14">
        <f t="shared" si="4"/>
        <v>313.5</v>
      </c>
      <c r="AJ14">
        <f t="shared" si="5"/>
        <v>743.09999999999991</v>
      </c>
    </row>
    <row r="15" spans="1:36" hidden="1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 s="1">
        <f t="shared" si="0"/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  <c r="AF15">
        <f t="shared" si="1"/>
        <v>1417.1999999999998</v>
      </c>
      <c r="AG15">
        <f t="shared" si="2"/>
        <v>323.5</v>
      </c>
      <c r="AH15">
        <f t="shared" si="3"/>
        <v>214.39999999999998</v>
      </c>
      <c r="AI15">
        <f t="shared" si="4"/>
        <v>313.39999999999998</v>
      </c>
      <c r="AJ15">
        <f t="shared" si="5"/>
        <v>742</v>
      </c>
    </row>
    <row r="16" spans="1:36" hidden="1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 s="1">
        <f t="shared" si="0"/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  <c r="AF16">
        <f t="shared" si="1"/>
        <v>1402.1999999999998</v>
      </c>
      <c r="AG16">
        <f t="shared" si="2"/>
        <v>324.60000000000002</v>
      </c>
      <c r="AH16">
        <f t="shared" si="3"/>
        <v>213.39999999999998</v>
      </c>
      <c r="AI16">
        <f t="shared" si="4"/>
        <v>313.5</v>
      </c>
      <c r="AJ16">
        <f t="shared" si="5"/>
        <v>742.59999999999991</v>
      </c>
    </row>
    <row r="17" spans="1:36" hidden="1" x14ac:dyDescent="0.3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V17" s="1">
        <f t="shared" si="0"/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  <c r="AF17">
        <f t="shared" si="1"/>
        <v>1420</v>
      </c>
      <c r="AG17">
        <f t="shared" si="2"/>
        <v>328</v>
      </c>
      <c r="AH17">
        <f t="shared" si="3"/>
        <v>214.6</v>
      </c>
      <c r="AI17">
        <f t="shared" si="4"/>
        <v>321.60000000000002</v>
      </c>
      <c r="AJ17">
        <f t="shared" si="5"/>
        <v>748.5</v>
      </c>
    </row>
    <row r="18" spans="1:36" hidden="1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 s="1">
        <f t="shared" si="0"/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  <c r="AF18">
        <f t="shared" si="1"/>
        <v>1464.6000000000001</v>
      </c>
      <c r="AG18">
        <f t="shared" si="2"/>
        <v>325.3</v>
      </c>
      <c r="AH18">
        <f t="shared" si="3"/>
        <v>216.10000000000002</v>
      </c>
      <c r="AI18">
        <f t="shared" si="4"/>
        <v>322.7</v>
      </c>
      <c r="AJ18">
        <f t="shared" si="5"/>
        <v>747.6</v>
      </c>
    </row>
    <row r="19" spans="1:36" hidden="1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 s="1">
        <f t="shared" si="0"/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  <c r="AF19">
        <f t="shared" si="1"/>
        <v>1436</v>
      </c>
      <c r="AG19">
        <f t="shared" si="2"/>
        <v>326.89999999999998</v>
      </c>
      <c r="AH19">
        <f t="shared" si="3"/>
        <v>214.9</v>
      </c>
      <c r="AI19">
        <f t="shared" si="4"/>
        <v>322.29999999999995</v>
      </c>
      <c r="AJ19">
        <f t="shared" si="5"/>
        <v>748.19999999999993</v>
      </c>
    </row>
    <row r="20" spans="1:36" hidden="1" x14ac:dyDescent="0.3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V20" s="1">
        <f t="shared" si="0"/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  <c r="AF20">
        <f t="shared" si="1"/>
        <v>1445.8999999999996</v>
      </c>
      <c r="AG20">
        <f t="shared" si="2"/>
        <v>330.3</v>
      </c>
      <c r="AH20">
        <f t="shared" si="3"/>
        <v>216.2</v>
      </c>
      <c r="AI20">
        <f t="shared" si="4"/>
        <v>325</v>
      </c>
      <c r="AJ20">
        <f t="shared" si="5"/>
        <v>754.4</v>
      </c>
    </row>
    <row r="21" spans="1:36" hidden="1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 s="1">
        <f t="shared" si="0"/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  <c r="AF21">
        <f t="shared" si="1"/>
        <v>1489.4</v>
      </c>
      <c r="AG21">
        <f t="shared" si="2"/>
        <v>327.10000000000002</v>
      </c>
      <c r="AH21">
        <f t="shared" si="3"/>
        <v>217.60000000000002</v>
      </c>
      <c r="AI21">
        <f t="shared" si="4"/>
        <v>326.39999999999998</v>
      </c>
      <c r="AJ21">
        <f t="shared" si="5"/>
        <v>753</v>
      </c>
    </row>
    <row r="22" spans="1:36" hidden="1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 s="1">
        <f t="shared" si="0"/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  <c r="AF22">
        <f t="shared" si="1"/>
        <v>1461.3999999999999</v>
      </c>
      <c r="AG22">
        <f t="shared" si="2"/>
        <v>329</v>
      </c>
      <c r="AH22">
        <f t="shared" si="3"/>
        <v>216.39999999999998</v>
      </c>
      <c r="AI22">
        <f t="shared" si="4"/>
        <v>326</v>
      </c>
      <c r="AJ22">
        <f t="shared" si="5"/>
        <v>753.99999999999989</v>
      </c>
    </row>
    <row r="23" spans="1:36" hidden="1" x14ac:dyDescent="0.3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V23" s="1">
        <f t="shared" si="0"/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  <c r="AF23">
        <f t="shared" si="1"/>
        <v>1462.5</v>
      </c>
      <c r="AG23">
        <f t="shared" si="2"/>
        <v>332.6</v>
      </c>
      <c r="AH23">
        <f t="shared" si="3"/>
        <v>217.5</v>
      </c>
      <c r="AI23">
        <f t="shared" si="4"/>
        <v>327.5</v>
      </c>
      <c r="AJ23">
        <f t="shared" si="5"/>
        <v>761.6</v>
      </c>
    </row>
    <row r="24" spans="1:36" hidden="1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 s="1">
        <f t="shared" si="0"/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  <c r="AF24">
        <f t="shared" si="1"/>
        <v>1506.1000000000001</v>
      </c>
      <c r="AG24">
        <f t="shared" si="2"/>
        <v>329.09999999999997</v>
      </c>
      <c r="AH24">
        <f t="shared" si="3"/>
        <v>218.9</v>
      </c>
      <c r="AI24">
        <f t="shared" si="4"/>
        <v>329</v>
      </c>
      <c r="AJ24">
        <f t="shared" si="5"/>
        <v>760.19999999999993</v>
      </c>
    </row>
    <row r="25" spans="1:36" hidden="1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 s="1">
        <f t="shared" si="0"/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  <c r="AF25">
        <f t="shared" si="1"/>
        <v>1477.4</v>
      </c>
      <c r="AG25">
        <f t="shared" si="2"/>
        <v>331.1</v>
      </c>
      <c r="AH25">
        <f t="shared" si="3"/>
        <v>217.8</v>
      </c>
      <c r="AI25">
        <f t="shared" si="4"/>
        <v>328.5</v>
      </c>
      <c r="AJ25">
        <f t="shared" si="5"/>
        <v>761.09999999999991</v>
      </c>
    </row>
    <row r="26" spans="1:36" hidden="1" x14ac:dyDescent="0.3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V26" s="1">
        <f t="shared" si="0"/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  <c r="AF26">
        <f t="shared" si="1"/>
        <v>1488.5000000000002</v>
      </c>
      <c r="AG26">
        <f t="shared" si="2"/>
        <v>336.6</v>
      </c>
      <c r="AH26">
        <f t="shared" si="3"/>
        <v>219.4</v>
      </c>
      <c r="AI26">
        <f t="shared" si="4"/>
        <v>330.6</v>
      </c>
      <c r="AJ26">
        <f t="shared" si="5"/>
        <v>770.90000000000009</v>
      </c>
    </row>
    <row r="27" spans="1:36" hidden="1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 s="1">
        <f t="shared" si="0"/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  <c r="AF27">
        <f t="shared" si="1"/>
        <v>1500.4</v>
      </c>
      <c r="AG27">
        <f t="shared" si="2"/>
        <v>331.5</v>
      </c>
      <c r="AH27">
        <f t="shared" si="3"/>
        <v>220.3</v>
      </c>
      <c r="AI27">
        <f t="shared" si="4"/>
        <v>330.4</v>
      </c>
      <c r="AJ27">
        <f t="shared" si="5"/>
        <v>767.8</v>
      </c>
    </row>
    <row r="28" spans="1:36" hidden="1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 s="1">
        <f t="shared" si="0"/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  <c r="AF28">
        <f t="shared" si="1"/>
        <v>1491.6999999999998</v>
      </c>
      <c r="AG28">
        <f t="shared" si="2"/>
        <v>334.5</v>
      </c>
      <c r="AH28">
        <f t="shared" si="3"/>
        <v>219.5</v>
      </c>
      <c r="AI28">
        <f t="shared" si="4"/>
        <v>330.79999999999995</v>
      </c>
      <c r="AJ28">
        <f t="shared" si="5"/>
        <v>769.8</v>
      </c>
    </row>
    <row r="29" spans="1:36" hidden="1" x14ac:dyDescent="0.3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V29" s="1">
        <f t="shared" si="0"/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  <c r="AF29">
        <f t="shared" si="1"/>
        <v>1508</v>
      </c>
      <c r="AG29">
        <f t="shared" si="2"/>
        <v>339.29999999999995</v>
      </c>
      <c r="AH29">
        <f t="shared" si="3"/>
        <v>220.5</v>
      </c>
      <c r="AI29">
        <f t="shared" si="4"/>
        <v>332.3</v>
      </c>
      <c r="AJ29">
        <f t="shared" si="5"/>
        <v>775.59999999999991</v>
      </c>
    </row>
    <row r="30" spans="1:36" hidden="1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 s="1">
        <f t="shared" si="0"/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  <c r="AF30">
        <f t="shared" si="1"/>
        <v>1517.1999999999998</v>
      </c>
      <c r="AG30">
        <f t="shared" si="2"/>
        <v>334.2</v>
      </c>
      <c r="AH30">
        <f t="shared" si="3"/>
        <v>221.5</v>
      </c>
      <c r="AI30">
        <f t="shared" si="4"/>
        <v>331.5</v>
      </c>
      <c r="AJ30">
        <f t="shared" si="5"/>
        <v>770.8</v>
      </c>
    </row>
    <row r="31" spans="1:36" hidden="1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 s="1">
        <f t="shared" si="0"/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  <c r="AF31">
        <f t="shared" si="1"/>
        <v>1510.2000000000003</v>
      </c>
      <c r="AG31">
        <f t="shared" si="2"/>
        <v>337.2</v>
      </c>
      <c r="AH31">
        <f t="shared" si="3"/>
        <v>220.6</v>
      </c>
      <c r="AI31">
        <f t="shared" si="4"/>
        <v>332.2</v>
      </c>
      <c r="AJ31">
        <f t="shared" si="5"/>
        <v>773.6</v>
      </c>
    </row>
    <row r="32" spans="1:36" hidden="1" x14ac:dyDescent="0.3">
      <c r="A32" t="s">
        <v>30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V32" s="1">
        <f t="shared" si="0"/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  <c r="AF32">
        <f t="shared" si="1"/>
        <v>1536.8</v>
      </c>
      <c r="AG32">
        <f t="shared" si="2"/>
        <v>342.1</v>
      </c>
      <c r="AH32">
        <f t="shared" si="3"/>
        <v>221.5</v>
      </c>
      <c r="AI32">
        <f t="shared" si="4"/>
        <v>334.7</v>
      </c>
      <c r="AJ32">
        <f t="shared" si="5"/>
        <v>781</v>
      </c>
    </row>
    <row r="33" spans="1:36" hidden="1" x14ac:dyDescent="0.3">
      <c r="A33" t="s">
        <v>32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 s="1">
        <f t="shared" si="0"/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  <c r="AF33">
        <f t="shared" si="1"/>
        <v>1544.6</v>
      </c>
      <c r="AG33">
        <f t="shared" si="2"/>
        <v>336.8</v>
      </c>
      <c r="AH33">
        <f t="shared" si="3"/>
        <v>222.6</v>
      </c>
      <c r="AI33">
        <f t="shared" si="4"/>
        <v>332.4</v>
      </c>
      <c r="AJ33">
        <f t="shared" si="5"/>
        <v>774.7</v>
      </c>
    </row>
    <row r="34" spans="1:36" hidden="1" x14ac:dyDescent="0.3">
      <c r="A34" t="s">
        <v>33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 s="1">
        <f t="shared" si="0"/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  <c r="AF34">
        <f t="shared" si="1"/>
        <v>1538.8</v>
      </c>
      <c r="AG34">
        <f t="shared" si="2"/>
        <v>339.90000000000003</v>
      </c>
      <c r="AH34">
        <f t="shared" si="3"/>
        <v>221.7</v>
      </c>
      <c r="AI34">
        <f t="shared" si="4"/>
        <v>333.9</v>
      </c>
      <c r="AJ34">
        <f t="shared" si="5"/>
        <v>778.30000000000007</v>
      </c>
    </row>
    <row r="35" spans="1:36" hidden="1" x14ac:dyDescent="0.3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V35" s="1">
        <f t="shared" si="0"/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  <c r="AF35">
        <f t="shared" si="1"/>
        <v>1509</v>
      </c>
      <c r="AG35">
        <f t="shared" si="2"/>
        <v>345.3</v>
      </c>
      <c r="AH35">
        <f t="shared" si="3"/>
        <v>222.8</v>
      </c>
      <c r="AI35">
        <f t="shared" si="4"/>
        <v>335.1</v>
      </c>
      <c r="AJ35">
        <f t="shared" si="5"/>
        <v>785.5</v>
      </c>
    </row>
    <row r="36" spans="1:36" hidden="1" x14ac:dyDescent="0.3">
      <c r="A36" t="s">
        <v>32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 s="1">
        <f t="shared" si="0"/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  <c r="AF36">
        <f t="shared" si="1"/>
        <v>1504.4</v>
      </c>
      <c r="AG36">
        <f t="shared" si="2"/>
        <v>338.8</v>
      </c>
      <c r="AH36">
        <f t="shared" si="3"/>
        <v>223.9</v>
      </c>
      <c r="AI36">
        <f t="shared" si="4"/>
        <v>332.5</v>
      </c>
      <c r="AJ36">
        <f t="shared" si="5"/>
        <v>777.30000000000007</v>
      </c>
    </row>
    <row r="37" spans="1:36" hidden="1" x14ac:dyDescent="0.3">
      <c r="A37" t="s">
        <v>33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 s="1">
        <f t="shared" si="0"/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  <c r="AF37">
        <f t="shared" si="1"/>
        <v>1507.3000000000002</v>
      </c>
      <c r="AG37">
        <f t="shared" si="2"/>
        <v>342.7</v>
      </c>
      <c r="AH37">
        <f t="shared" si="3"/>
        <v>223</v>
      </c>
      <c r="AI37">
        <f t="shared" si="4"/>
        <v>334.1</v>
      </c>
      <c r="AJ37">
        <f t="shared" si="5"/>
        <v>782.09999999999991</v>
      </c>
    </row>
    <row r="38" spans="1:36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V38" s="1">
        <f t="shared" si="0"/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  <c r="AF38">
        <f t="shared" si="1"/>
        <v>1486.6000000000001</v>
      </c>
      <c r="AG38">
        <f t="shared" si="2"/>
        <v>347.2</v>
      </c>
      <c r="AH38">
        <f t="shared" si="3"/>
        <v>223.6</v>
      </c>
      <c r="AI38">
        <f t="shared" si="4"/>
        <v>336.4</v>
      </c>
      <c r="AJ38">
        <f t="shared" si="5"/>
        <v>789.19999999999993</v>
      </c>
    </row>
    <row r="39" spans="1:36" hidden="1" x14ac:dyDescent="0.3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 s="1">
        <f t="shared" si="0"/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  <c r="AF39">
        <f t="shared" si="1"/>
        <v>1484.3</v>
      </c>
      <c r="AG39">
        <f t="shared" si="2"/>
        <v>340.4</v>
      </c>
      <c r="AH39">
        <f t="shared" si="3"/>
        <v>225.5</v>
      </c>
      <c r="AI39">
        <f t="shared" si="4"/>
        <v>334.1</v>
      </c>
      <c r="AJ39">
        <f t="shared" si="5"/>
        <v>781.59999999999991</v>
      </c>
    </row>
    <row r="40" spans="1:36" hidden="1" x14ac:dyDescent="0.3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 s="1">
        <f t="shared" si="0"/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  <c r="AF40">
        <f t="shared" si="1"/>
        <v>1485.7999999999997</v>
      </c>
      <c r="AG40">
        <f t="shared" si="2"/>
        <v>344.4</v>
      </c>
      <c r="AH40">
        <f t="shared" si="3"/>
        <v>224.2</v>
      </c>
      <c r="AI40">
        <f t="shared" si="4"/>
        <v>335.4</v>
      </c>
      <c r="AJ40">
        <f t="shared" si="5"/>
        <v>786.2</v>
      </c>
    </row>
    <row r="41" spans="1:36" hidden="1" x14ac:dyDescent="0.3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V41" s="1">
        <f t="shared" si="0"/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  <c r="AF41">
        <f t="shared" si="1"/>
        <v>1482.2</v>
      </c>
      <c r="AG41">
        <f t="shared" si="2"/>
        <v>348.3</v>
      </c>
      <c r="AH41">
        <f t="shared" si="3"/>
        <v>224.10000000000002</v>
      </c>
      <c r="AI41">
        <f t="shared" si="4"/>
        <v>337.7</v>
      </c>
      <c r="AJ41">
        <f t="shared" si="5"/>
        <v>791.6</v>
      </c>
    </row>
    <row r="42" spans="1:36" hidden="1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 s="1">
        <f t="shared" si="0"/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  <c r="AF42">
        <f t="shared" si="1"/>
        <v>1476</v>
      </c>
      <c r="AG42">
        <f t="shared" si="2"/>
        <v>341.7</v>
      </c>
      <c r="AH42">
        <f t="shared" si="3"/>
        <v>226.5</v>
      </c>
      <c r="AI42">
        <f t="shared" si="4"/>
        <v>335.2</v>
      </c>
      <c r="AJ42">
        <f t="shared" si="5"/>
        <v>785.3</v>
      </c>
    </row>
    <row r="43" spans="1:36" hidden="1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 s="1">
        <f t="shared" si="0"/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  <c r="AF43">
        <f t="shared" si="1"/>
        <v>1480.1</v>
      </c>
      <c r="AG43">
        <f t="shared" si="2"/>
        <v>345.6</v>
      </c>
      <c r="AH43">
        <f t="shared" si="3"/>
        <v>224.8</v>
      </c>
      <c r="AI43">
        <f t="shared" si="4"/>
        <v>336.7</v>
      </c>
      <c r="AJ43">
        <f t="shared" si="5"/>
        <v>789.1</v>
      </c>
    </row>
    <row r="44" spans="1:36" hidden="1" x14ac:dyDescent="0.3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V44" s="1">
        <f t="shared" si="0"/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  <c r="AF44">
        <f t="shared" si="1"/>
        <v>1491.4</v>
      </c>
      <c r="AG44">
        <f t="shared" si="2"/>
        <v>349.6</v>
      </c>
      <c r="AH44">
        <f t="shared" si="3"/>
        <v>224.8</v>
      </c>
      <c r="AI44">
        <f t="shared" si="4"/>
        <v>339</v>
      </c>
      <c r="AJ44">
        <f t="shared" si="5"/>
        <v>794.4</v>
      </c>
    </row>
    <row r="45" spans="1:36" hidden="1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 s="1">
        <f t="shared" si="0"/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  <c r="AF45">
        <f t="shared" si="1"/>
        <v>1483</v>
      </c>
      <c r="AG45">
        <f t="shared" si="2"/>
        <v>343.09999999999997</v>
      </c>
      <c r="AH45">
        <f t="shared" si="3"/>
        <v>227.60000000000002</v>
      </c>
      <c r="AI45">
        <f t="shared" si="4"/>
        <v>335.90000000000003</v>
      </c>
      <c r="AJ45">
        <f t="shared" si="5"/>
        <v>788.3</v>
      </c>
    </row>
    <row r="46" spans="1:36" hidden="1" x14ac:dyDescent="0.3">
      <c r="A46" t="s">
        <v>33</v>
      </c>
      <c r="B46">
        <v>2014</v>
      </c>
      <c r="C46" t="s">
        <v>35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 s="1">
        <f t="shared" si="0"/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  <c r="AF46">
        <f t="shared" si="1"/>
        <v>1488.2999999999997</v>
      </c>
      <c r="AG46">
        <f t="shared" si="2"/>
        <v>346.9</v>
      </c>
      <c r="AH46">
        <f t="shared" si="3"/>
        <v>225.8</v>
      </c>
      <c r="AI46">
        <f t="shared" si="4"/>
        <v>337.7</v>
      </c>
      <c r="AJ46">
        <f t="shared" si="5"/>
        <v>791.8</v>
      </c>
    </row>
    <row r="47" spans="1:36" hidden="1" x14ac:dyDescent="0.3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V47" s="1">
        <f t="shared" si="0"/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  <c r="AF47">
        <f t="shared" si="1"/>
        <v>1504.1000000000001</v>
      </c>
      <c r="AG47">
        <f t="shared" si="2"/>
        <v>352</v>
      </c>
      <c r="AH47">
        <f t="shared" si="3"/>
        <v>225.9</v>
      </c>
      <c r="AI47">
        <f t="shared" si="4"/>
        <v>340.3</v>
      </c>
      <c r="AJ47">
        <f t="shared" si="5"/>
        <v>797.3</v>
      </c>
    </row>
    <row r="48" spans="1:36" hidden="1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 s="1">
        <f t="shared" si="0"/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  <c r="AF48">
        <f t="shared" si="1"/>
        <v>1504.0000000000002</v>
      </c>
      <c r="AG48">
        <f t="shared" si="2"/>
        <v>344.5</v>
      </c>
      <c r="AH48">
        <f t="shared" si="3"/>
        <v>228.8</v>
      </c>
      <c r="AI48">
        <f t="shared" si="4"/>
        <v>337.3</v>
      </c>
      <c r="AJ48">
        <f t="shared" si="5"/>
        <v>789.6</v>
      </c>
    </row>
    <row r="49" spans="1:36" hidden="1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 s="1">
        <f t="shared" si="0"/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  <c r="AF49">
        <f t="shared" si="1"/>
        <v>1504.1</v>
      </c>
      <c r="AG49">
        <f t="shared" si="2"/>
        <v>349</v>
      </c>
      <c r="AH49">
        <f t="shared" si="3"/>
        <v>226.9</v>
      </c>
      <c r="AI49">
        <f t="shared" si="4"/>
        <v>339.1</v>
      </c>
      <c r="AJ49">
        <f t="shared" si="5"/>
        <v>794.30000000000007</v>
      </c>
    </row>
    <row r="50" spans="1:36" hidden="1" x14ac:dyDescent="0.3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V50" s="1">
        <f t="shared" si="0"/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  <c r="AF50">
        <f t="shared" si="1"/>
        <v>1513.8999999999999</v>
      </c>
      <c r="AG50">
        <f t="shared" si="2"/>
        <v>354</v>
      </c>
      <c r="AH50">
        <f t="shared" si="3"/>
        <v>227.2</v>
      </c>
      <c r="AI50">
        <f t="shared" si="4"/>
        <v>340.79999999999995</v>
      </c>
      <c r="AJ50">
        <f t="shared" si="5"/>
        <v>800.19999999999993</v>
      </c>
    </row>
    <row r="51" spans="1:36" hidden="1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 s="1">
        <f t="shared" si="0"/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  <c r="AF51">
        <f t="shared" si="1"/>
        <v>1525.3000000000002</v>
      </c>
      <c r="AG51">
        <f t="shared" si="2"/>
        <v>345.9</v>
      </c>
      <c r="AH51">
        <f t="shared" si="3"/>
        <v>229.8</v>
      </c>
      <c r="AI51">
        <f t="shared" si="4"/>
        <v>338.29999999999995</v>
      </c>
      <c r="AJ51">
        <f t="shared" si="5"/>
        <v>792.3</v>
      </c>
    </row>
    <row r="52" spans="1:36" hidden="1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 s="1">
        <f t="shared" si="0"/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  <c r="AF52">
        <f t="shared" si="1"/>
        <v>1518.5000000000005</v>
      </c>
      <c r="AG52">
        <f t="shared" si="2"/>
        <v>350.79999999999995</v>
      </c>
      <c r="AH52">
        <f t="shared" si="3"/>
        <v>228</v>
      </c>
      <c r="AI52">
        <f t="shared" si="4"/>
        <v>339.8</v>
      </c>
      <c r="AJ52">
        <f t="shared" si="5"/>
        <v>797.09999999999991</v>
      </c>
    </row>
    <row r="53" spans="1:36" hidden="1" x14ac:dyDescent="0.3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V53" s="1">
        <f t="shared" si="0"/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  <c r="AF53">
        <f t="shared" si="1"/>
        <v>1525.6999999999998</v>
      </c>
      <c r="AG53">
        <f t="shared" si="2"/>
        <v>356.3</v>
      </c>
      <c r="AH53">
        <f t="shared" si="3"/>
        <v>228.7</v>
      </c>
      <c r="AI53">
        <f t="shared" si="4"/>
        <v>342.6</v>
      </c>
      <c r="AJ53">
        <f t="shared" si="5"/>
        <v>803.7</v>
      </c>
    </row>
    <row r="54" spans="1:36" hidden="1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 s="1">
        <f t="shared" si="0"/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  <c r="AF54">
        <f t="shared" si="1"/>
        <v>1547</v>
      </c>
      <c r="AG54">
        <f t="shared" si="2"/>
        <v>347.3</v>
      </c>
      <c r="AH54">
        <f t="shared" si="3"/>
        <v>230.8</v>
      </c>
      <c r="AI54">
        <f t="shared" si="4"/>
        <v>340.20000000000005</v>
      </c>
      <c r="AJ54">
        <f t="shared" si="5"/>
        <v>794.00000000000011</v>
      </c>
    </row>
    <row r="55" spans="1:36" hidden="1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 s="1">
        <f t="shared" si="0"/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  <c r="AF55">
        <f t="shared" si="1"/>
        <v>1533.7000000000003</v>
      </c>
      <c r="AG55">
        <f t="shared" si="2"/>
        <v>352.7</v>
      </c>
      <c r="AH55">
        <f t="shared" si="3"/>
        <v>229.39999999999998</v>
      </c>
      <c r="AI55">
        <f t="shared" si="4"/>
        <v>341.90000000000003</v>
      </c>
      <c r="AJ55">
        <f t="shared" si="5"/>
        <v>799.69999999999982</v>
      </c>
    </row>
    <row r="56" spans="1:36" hidden="1" x14ac:dyDescent="0.3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V56" s="1">
        <f t="shared" si="0"/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  <c r="AF56">
        <f t="shared" si="1"/>
        <v>1563.2</v>
      </c>
      <c r="AG56">
        <f t="shared" si="2"/>
        <v>359.3</v>
      </c>
      <c r="AH56">
        <f t="shared" si="3"/>
        <v>229.8</v>
      </c>
      <c r="AI56">
        <f t="shared" si="4"/>
        <v>345.6</v>
      </c>
      <c r="AJ56">
        <f t="shared" si="5"/>
        <v>809.80000000000007</v>
      </c>
    </row>
    <row r="57" spans="1:36" hidden="1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 s="1">
        <f t="shared" si="0"/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  <c r="AF57">
        <f t="shared" si="1"/>
        <v>1599.5</v>
      </c>
      <c r="AG57">
        <f t="shared" si="2"/>
        <v>349</v>
      </c>
      <c r="AH57">
        <f t="shared" si="3"/>
        <v>233.4</v>
      </c>
      <c r="AI57">
        <f t="shared" si="4"/>
        <v>344.2</v>
      </c>
      <c r="AJ57">
        <f t="shared" si="5"/>
        <v>800.1</v>
      </c>
    </row>
    <row r="58" spans="1:36" hidden="1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 s="1">
        <f t="shared" si="0"/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  <c r="AF58">
        <f t="shared" si="1"/>
        <v>1576.3</v>
      </c>
      <c r="AG58">
        <f t="shared" si="2"/>
        <v>355</v>
      </c>
      <c r="AH58">
        <f t="shared" si="3"/>
        <v>230.89999999999998</v>
      </c>
      <c r="AI58">
        <f t="shared" si="4"/>
        <v>345.5</v>
      </c>
      <c r="AJ58">
        <f t="shared" si="5"/>
        <v>805.8</v>
      </c>
    </row>
    <row r="59" spans="1:36" hidden="1" x14ac:dyDescent="0.3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V59" s="1">
        <f t="shared" si="0"/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  <c r="AF59">
        <f t="shared" si="1"/>
        <v>1582.2999999999997</v>
      </c>
      <c r="AG59">
        <f t="shared" si="2"/>
        <v>360.4</v>
      </c>
      <c r="AH59">
        <f t="shared" si="3"/>
        <v>231</v>
      </c>
      <c r="AI59">
        <f t="shared" si="4"/>
        <v>347.1</v>
      </c>
      <c r="AJ59">
        <f t="shared" si="5"/>
        <v>812.4</v>
      </c>
    </row>
    <row r="60" spans="1:36" hidden="1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 s="1">
        <f t="shared" si="0"/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  <c r="AF60">
        <f t="shared" si="1"/>
        <v>1617</v>
      </c>
      <c r="AG60">
        <f t="shared" si="2"/>
        <v>350.6</v>
      </c>
      <c r="AH60">
        <f t="shared" si="3"/>
        <v>235.9</v>
      </c>
      <c r="AI60">
        <f t="shared" si="4"/>
        <v>346.5</v>
      </c>
      <c r="AJ60">
        <f t="shared" si="5"/>
        <v>802.80000000000007</v>
      </c>
    </row>
    <row r="61" spans="1:36" hidden="1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 s="1">
        <f t="shared" si="0"/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  <c r="AF61">
        <f t="shared" si="1"/>
        <v>1594.4999999999998</v>
      </c>
      <c r="AG61">
        <f t="shared" si="2"/>
        <v>356.4</v>
      </c>
      <c r="AH61">
        <f t="shared" si="3"/>
        <v>232.5</v>
      </c>
      <c r="AI61">
        <f t="shared" si="4"/>
        <v>347.5</v>
      </c>
      <c r="AJ61">
        <f t="shared" si="5"/>
        <v>808.4</v>
      </c>
    </row>
    <row r="62" spans="1:36" hidden="1" x14ac:dyDescent="0.3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V62" s="1">
        <f t="shared" si="0"/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  <c r="AF62">
        <f t="shared" si="1"/>
        <v>1583.2</v>
      </c>
      <c r="AG62">
        <f t="shared" si="2"/>
        <v>362.2</v>
      </c>
      <c r="AH62">
        <f t="shared" si="3"/>
        <v>232.1</v>
      </c>
      <c r="AI62">
        <f t="shared" si="4"/>
        <v>348.5</v>
      </c>
      <c r="AJ62">
        <f t="shared" si="5"/>
        <v>814.5</v>
      </c>
    </row>
    <row r="63" spans="1:36" hidden="1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 s="1">
        <f t="shared" si="0"/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  <c r="AF63">
        <f t="shared" si="1"/>
        <v>1593.7000000000003</v>
      </c>
      <c r="AG63">
        <f t="shared" si="2"/>
        <v>352.1</v>
      </c>
      <c r="AH63">
        <f t="shared" si="3"/>
        <v>237.7</v>
      </c>
      <c r="AI63">
        <f t="shared" si="4"/>
        <v>347.9</v>
      </c>
      <c r="AJ63">
        <f t="shared" si="5"/>
        <v>802.40000000000009</v>
      </c>
    </row>
    <row r="64" spans="1:36" hidden="1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 s="1">
        <f t="shared" si="0"/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  <c r="AF64">
        <f t="shared" si="1"/>
        <v>1586.0999999999997</v>
      </c>
      <c r="AG64">
        <f t="shared" si="2"/>
        <v>358</v>
      </c>
      <c r="AH64">
        <f t="shared" si="3"/>
        <v>233.89999999999998</v>
      </c>
      <c r="AI64">
        <f t="shared" si="4"/>
        <v>349</v>
      </c>
      <c r="AJ64">
        <f t="shared" si="5"/>
        <v>809.30000000000007</v>
      </c>
    </row>
    <row r="65" spans="1:36" hidden="1" x14ac:dyDescent="0.3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V65" s="1">
        <f t="shared" si="0"/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  <c r="AF65">
        <f t="shared" si="1"/>
        <v>1581.1999999999998</v>
      </c>
      <c r="AG65">
        <f t="shared" si="2"/>
        <v>365.3</v>
      </c>
      <c r="AH65">
        <f t="shared" si="3"/>
        <v>233</v>
      </c>
      <c r="AI65">
        <f t="shared" si="4"/>
        <v>350</v>
      </c>
      <c r="AJ65">
        <f t="shared" si="5"/>
        <v>818.69999999999993</v>
      </c>
    </row>
    <row r="66" spans="1:36" hidden="1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 s="1">
        <f t="shared" ref="V66:V129" si="6">IF(ISBLANK(U66), U67, U66)</f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  <c r="AF66">
        <f t="shared" ref="AF66:AF129" si="7">SUM(D66:P66)</f>
        <v>1587.5</v>
      </c>
      <c r="AG66">
        <f t="shared" ref="AG66:AG129" si="8">SUM(R66:T66)</f>
        <v>353.4</v>
      </c>
      <c r="AH66">
        <f t="shared" ref="AH66:AH129" si="9">SUM(Q66,AA66)</f>
        <v>237.89999999999998</v>
      </c>
      <c r="AI66">
        <f t="shared" ref="AI66:AI129" si="10">SUM(V66,W66,AB66)</f>
        <v>348.9</v>
      </c>
      <c r="AJ66">
        <f t="shared" ref="AJ66:AJ129" si="11">SUM(R66,S66,T66,X66,Z66,AC66,AD66)</f>
        <v>804.00000000000011</v>
      </c>
    </row>
    <row r="67" spans="1:36" hidden="1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 s="1">
        <f t="shared" si="6"/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  <c r="AF67">
        <f t="shared" si="7"/>
        <v>1582.7</v>
      </c>
      <c r="AG67">
        <f t="shared" si="8"/>
        <v>360.6</v>
      </c>
      <c r="AH67">
        <f t="shared" si="9"/>
        <v>234.39999999999998</v>
      </c>
      <c r="AI67">
        <f t="shared" si="10"/>
        <v>350.2</v>
      </c>
      <c r="AJ67">
        <f t="shared" si="11"/>
        <v>812.6</v>
      </c>
    </row>
    <row r="68" spans="1:36" hidden="1" x14ac:dyDescent="0.3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V68" s="1">
        <f t="shared" si="6"/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  <c r="AF68">
        <f t="shared" si="7"/>
        <v>1582</v>
      </c>
      <c r="AG68">
        <f t="shared" si="8"/>
        <v>366.70000000000005</v>
      </c>
      <c r="AH68">
        <f t="shared" si="9"/>
        <v>234.1</v>
      </c>
      <c r="AI68">
        <f t="shared" si="10"/>
        <v>351.59999999999997</v>
      </c>
      <c r="AJ68">
        <f t="shared" si="11"/>
        <v>819.7</v>
      </c>
    </row>
    <row r="69" spans="1:36" hidden="1" x14ac:dyDescent="0.3">
      <c r="A69" t="s">
        <v>32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 s="1">
        <f t="shared" si="6"/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  <c r="AF69">
        <f t="shared" si="7"/>
        <v>1587.8</v>
      </c>
      <c r="AG69">
        <f t="shared" si="8"/>
        <v>355.2</v>
      </c>
      <c r="AH69">
        <f t="shared" si="9"/>
        <v>239.8</v>
      </c>
      <c r="AI69">
        <f t="shared" si="10"/>
        <v>350</v>
      </c>
      <c r="AJ69">
        <f t="shared" si="11"/>
        <v>804.30000000000007</v>
      </c>
    </row>
    <row r="70" spans="1:36" hidden="1" x14ac:dyDescent="0.3">
      <c r="A70" t="s">
        <v>33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 s="1">
        <f t="shared" si="6"/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  <c r="AF70">
        <f t="shared" si="7"/>
        <v>1583.2</v>
      </c>
      <c r="AG70">
        <f t="shared" si="8"/>
        <v>362.1</v>
      </c>
      <c r="AH70">
        <f t="shared" si="9"/>
        <v>235.8</v>
      </c>
      <c r="AI70">
        <f t="shared" si="10"/>
        <v>351.6</v>
      </c>
      <c r="AJ70">
        <f t="shared" si="11"/>
        <v>813.1</v>
      </c>
    </row>
    <row r="71" spans="1:36" hidden="1" x14ac:dyDescent="0.3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V71" s="1">
        <f t="shared" si="6"/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  <c r="AF71">
        <f t="shared" si="7"/>
        <v>1569.6</v>
      </c>
      <c r="AG71">
        <f t="shared" si="8"/>
        <v>367.7</v>
      </c>
      <c r="AH71">
        <f t="shared" si="9"/>
        <v>235</v>
      </c>
      <c r="AI71">
        <f t="shared" si="10"/>
        <v>351.6</v>
      </c>
      <c r="AJ71">
        <f t="shared" si="11"/>
        <v>821</v>
      </c>
    </row>
    <row r="72" spans="1:36" hidden="1" x14ac:dyDescent="0.3">
      <c r="A72" t="s">
        <v>32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 s="1">
        <f t="shared" si="6"/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  <c r="AF72">
        <f t="shared" si="7"/>
        <v>1577.1999999999998</v>
      </c>
      <c r="AG72">
        <f t="shared" si="8"/>
        <v>356.5</v>
      </c>
      <c r="AH72">
        <f t="shared" si="9"/>
        <v>240.7</v>
      </c>
      <c r="AI72">
        <f t="shared" si="10"/>
        <v>350.2</v>
      </c>
      <c r="AJ72">
        <f t="shared" si="11"/>
        <v>805.9</v>
      </c>
    </row>
    <row r="73" spans="1:36" hidden="1" x14ac:dyDescent="0.3">
      <c r="A73" t="s">
        <v>33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 s="1">
        <f t="shared" si="6"/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  <c r="AF73">
        <f t="shared" si="7"/>
        <v>1571.6999999999998</v>
      </c>
      <c r="AG73">
        <f t="shared" si="8"/>
        <v>363.2</v>
      </c>
      <c r="AH73">
        <f t="shared" si="9"/>
        <v>236.9</v>
      </c>
      <c r="AI73">
        <f t="shared" si="10"/>
        <v>351.7</v>
      </c>
      <c r="AJ73">
        <f t="shared" si="11"/>
        <v>814.39999999999986</v>
      </c>
    </row>
    <row r="74" spans="1:36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V74" s="1">
        <f t="shared" si="6"/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  <c r="AF74">
        <f t="shared" si="7"/>
        <v>1568.1</v>
      </c>
      <c r="AG74">
        <f t="shared" si="8"/>
        <v>370</v>
      </c>
      <c r="AH74">
        <f t="shared" si="9"/>
        <v>236.7</v>
      </c>
      <c r="AI74">
        <f t="shared" si="10"/>
        <v>353.9</v>
      </c>
      <c r="AJ74">
        <f t="shared" si="11"/>
        <v>824.6</v>
      </c>
    </row>
    <row r="75" spans="1:36" hidden="1" x14ac:dyDescent="0.3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 s="1">
        <f t="shared" si="6"/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  <c r="AF75">
        <f t="shared" si="7"/>
        <v>1574.8999999999999</v>
      </c>
      <c r="AG75">
        <f t="shared" si="8"/>
        <v>357.3</v>
      </c>
      <c r="AH75">
        <f t="shared" si="9"/>
        <v>242</v>
      </c>
      <c r="AI75">
        <f t="shared" si="10"/>
        <v>351.5</v>
      </c>
      <c r="AJ75">
        <f t="shared" si="11"/>
        <v>807.19999999999993</v>
      </c>
    </row>
    <row r="76" spans="1:36" hidden="1" x14ac:dyDescent="0.3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 s="1">
        <f t="shared" si="6"/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  <c r="AF76">
        <f t="shared" si="7"/>
        <v>1569.3</v>
      </c>
      <c r="AG76">
        <f t="shared" si="8"/>
        <v>364.9</v>
      </c>
      <c r="AH76">
        <f t="shared" si="9"/>
        <v>238.3</v>
      </c>
      <c r="AI76">
        <f t="shared" si="10"/>
        <v>353.5</v>
      </c>
      <c r="AJ76">
        <f t="shared" si="11"/>
        <v>817.1</v>
      </c>
    </row>
    <row r="77" spans="1:36" hidden="1" x14ac:dyDescent="0.3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V77" s="1">
        <f t="shared" si="6"/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  <c r="AF77">
        <f t="shared" si="7"/>
        <v>1570.5999999999997</v>
      </c>
      <c r="AG77">
        <f t="shared" si="8"/>
        <v>373.1</v>
      </c>
      <c r="AH77">
        <f t="shared" si="9"/>
        <v>239</v>
      </c>
      <c r="AI77">
        <f t="shared" si="10"/>
        <v>356.8</v>
      </c>
      <c r="AJ77">
        <f t="shared" si="11"/>
        <v>829.4</v>
      </c>
    </row>
    <row r="78" spans="1:36" hidden="1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 s="1">
        <f t="shared" si="6"/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  <c r="AF78">
        <f t="shared" si="7"/>
        <v>1571.1000000000001</v>
      </c>
      <c r="AG78">
        <f t="shared" si="8"/>
        <v>358.4</v>
      </c>
      <c r="AH78">
        <f t="shared" si="9"/>
        <v>243</v>
      </c>
      <c r="AI78">
        <f t="shared" si="10"/>
        <v>352.5</v>
      </c>
      <c r="AJ78">
        <f t="shared" si="11"/>
        <v>807.80000000000007</v>
      </c>
    </row>
    <row r="79" spans="1:36" hidden="1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 s="1">
        <f t="shared" si="6"/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  <c r="AF79">
        <f t="shared" si="7"/>
        <v>1569.3999999999996</v>
      </c>
      <c r="AG79">
        <f t="shared" si="8"/>
        <v>367.2</v>
      </c>
      <c r="AH79">
        <f t="shared" si="9"/>
        <v>240.10000000000002</v>
      </c>
      <c r="AI79">
        <f t="shared" si="10"/>
        <v>355.5</v>
      </c>
      <c r="AJ79">
        <f t="shared" si="11"/>
        <v>819.90000000000009</v>
      </c>
    </row>
    <row r="80" spans="1:36" hidden="1" x14ac:dyDescent="0.3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V80" s="1">
        <f t="shared" si="6"/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  <c r="AF80">
        <f t="shared" si="7"/>
        <v>1571.5</v>
      </c>
      <c r="AG80">
        <f t="shared" si="8"/>
        <v>374.4</v>
      </c>
      <c r="AH80">
        <f t="shared" si="9"/>
        <v>240.2</v>
      </c>
      <c r="AI80">
        <f t="shared" si="10"/>
        <v>358.6</v>
      </c>
      <c r="AJ80">
        <f t="shared" si="11"/>
        <v>832.49999999999989</v>
      </c>
    </row>
    <row r="81" spans="1:36" hidden="1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 s="1">
        <f t="shared" si="6"/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  <c r="AF81">
        <f t="shared" si="7"/>
        <v>1568.0000000000002</v>
      </c>
      <c r="AG81">
        <f t="shared" si="8"/>
        <v>359.5</v>
      </c>
      <c r="AH81">
        <f t="shared" si="9"/>
        <v>244.20000000000002</v>
      </c>
      <c r="AI81">
        <f t="shared" si="10"/>
        <v>353.6</v>
      </c>
      <c r="AJ81">
        <f t="shared" si="11"/>
        <v>810.99999999999989</v>
      </c>
    </row>
    <row r="82" spans="1:36" hidden="1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 s="1">
        <f t="shared" si="6"/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  <c r="AF82">
        <f t="shared" si="7"/>
        <v>1569.1</v>
      </c>
      <c r="AG82">
        <f t="shared" si="8"/>
        <v>368.4</v>
      </c>
      <c r="AH82">
        <f t="shared" si="9"/>
        <v>241.2</v>
      </c>
      <c r="AI82">
        <f t="shared" si="10"/>
        <v>357</v>
      </c>
      <c r="AJ82">
        <f t="shared" si="11"/>
        <v>823.2</v>
      </c>
    </row>
    <row r="83" spans="1:36" hidden="1" x14ac:dyDescent="0.3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V83" s="1">
        <f t="shared" si="6"/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  <c r="AF83">
        <f t="shared" si="7"/>
        <v>1577.2</v>
      </c>
      <c r="AG83">
        <f t="shared" si="8"/>
        <v>375.7</v>
      </c>
      <c r="AH83">
        <f t="shared" si="9"/>
        <v>241.9</v>
      </c>
      <c r="AI83">
        <f t="shared" si="10"/>
        <v>360.3</v>
      </c>
      <c r="AJ83">
        <f t="shared" si="11"/>
        <v>836.1</v>
      </c>
    </row>
    <row r="84" spans="1:36" hidden="1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 s="1">
        <f t="shared" si="6"/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  <c r="AF84">
        <f t="shared" si="7"/>
        <v>1576.1</v>
      </c>
      <c r="AG84">
        <f t="shared" si="8"/>
        <v>360.6</v>
      </c>
      <c r="AH84">
        <f t="shared" si="9"/>
        <v>245.7</v>
      </c>
      <c r="AI84">
        <f t="shared" si="10"/>
        <v>355.6</v>
      </c>
      <c r="AJ84">
        <f t="shared" si="11"/>
        <v>813.4</v>
      </c>
    </row>
    <row r="85" spans="1:36" hidden="1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 s="1">
        <f t="shared" si="6"/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  <c r="AF85">
        <f t="shared" si="7"/>
        <v>1575.7</v>
      </c>
      <c r="AG85">
        <f t="shared" si="8"/>
        <v>369.6</v>
      </c>
      <c r="AH85">
        <f t="shared" si="9"/>
        <v>242.8</v>
      </c>
      <c r="AI85">
        <f t="shared" si="10"/>
        <v>358.9</v>
      </c>
      <c r="AJ85">
        <f t="shared" si="11"/>
        <v>826.2</v>
      </c>
    </row>
    <row r="86" spans="1:36" hidden="1" x14ac:dyDescent="0.3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V86" s="1">
        <f t="shared" si="6"/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  <c r="AF86">
        <f t="shared" si="7"/>
        <v>1587.7</v>
      </c>
      <c r="AG86">
        <f t="shared" si="8"/>
        <v>378.2</v>
      </c>
      <c r="AH86">
        <f t="shared" si="9"/>
        <v>243.4</v>
      </c>
      <c r="AI86">
        <f t="shared" si="10"/>
        <v>362</v>
      </c>
      <c r="AJ86">
        <f t="shared" si="11"/>
        <v>842.19999999999993</v>
      </c>
    </row>
    <row r="87" spans="1:36" hidden="1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 s="1">
        <f t="shared" si="6"/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  <c r="AF87">
        <f t="shared" si="7"/>
        <v>1598.9</v>
      </c>
      <c r="AG87">
        <f t="shared" si="8"/>
        <v>361.4</v>
      </c>
      <c r="AH87">
        <f t="shared" si="9"/>
        <v>247.3</v>
      </c>
      <c r="AI87">
        <f t="shared" si="10"/>
        <v>356.5</v>
      </c>
      <c r="AJ87">
        <f t="shared" si="11"/>
        <v>818.5</v>
      </c>
    </row>
    <row r="88" spans="1:36" hidden="1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 s="1">
        <f t="shared" si="6"/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  <c r="AF88">
        <f t="shared" si="7"/>
        <v>1590.4</v>
      </c>
      <c r="AG88">
        <f t="shared" si="8"/>
        <v>371.4</v>
      </c>
      <c r="AH88">
        <f t="shared" si="9"/>
        <v>244.2</v>
      </c>
      <c r="AI88">
        <f t="shared" si="10"/>
        <v>360.20000000000005</v>
      </c>
      <c r="AJ88">
        <f t="shared" si="11"/>
        <v>831.99999999999989</v>
      </c>
    </row>
    <row r="89" spans="1:36" hidden="1" x14ac:dyDescent="0.3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V89" s="1">
        <f t="shared" si="6"/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  <c r="AF89">
        <f t="shared" si="7"/>
        <v>1617.8999999999999</v>
      </c>
      <c r="AG89">
        <f t="shared" si="8"/>
        <v>381.5</v>
      </c>
      <c r="AH89">
        <f t="shared" si="9"/>
        <v>246.1</v>
      </c>
      <c r="AI89">
        <f t="shared" si="10"/>
        <v>363.6</v>
      </c>
      <c r="AJ89">
        <f t="shared" si="11"/>
        <v>849.4</v>
      </c>
    </row>
    <row r="90" spans="1:36" hidden="1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 s="1">
        <f t="shared" si="6"/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  <c r="AF90">
        <f t="shared" si="7"/>
        <v>1636.6</v>
      </c>
      <c r="AG90">
        <f t="shared" si="8"/>
        <v>363.1</v>
      </c>
      <c r="AH90">
        <f t="shared" si="9"/>
        <v>248.3</v>
      </c>
      <c r="AI90">
        <f t="shared" si="10"/>
        <v>357.9</v>
      </c>
      <c r="AJ90">
        <f t="shared" si="11"/>
        <v>822.5</v>
      </c>
    </row>
    <row r="91" spans="1:36" hidden="1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 s="1">
        <f t="shared" si="6"/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  <c r="AF91">
        <f t="shared" si="7"/>
        <v>1623.5</v>
      </c>
      <c r="AG91">
        <f t="shared" si="8"/>
        <v>374.1</v>
      </c>
      <c r="AH91">
        <f t="shared" si="9"/>
        <v>246.1</v>
      </c>
      <c r="AI91">
        <f t="shared" si="10"/>
        <v>361.9</v>
      </c>
      <c r="AJ91">
        <f t="shared" si="11"/>
        <v>837.9</v>
      </c>
    </row>
    <row r="92" spans="1:36" hidden="1" x14ac:dyDescent="0.3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V92" s="1">
        <f t="shared" si="6"/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  <c r="AF92">
        <f t="shared" si="7"/>
        <v>1625.3</v>
      </c>
      <c r="AG92">
        <f t="shared" si="8"/>
        <v>382.6</v>
      </c>
      <c r="AH92">
        <f t="shared" si="9"/>
        <v>247.4</v>
      </c>
      <c r="AI92">
        <f t="shared" si="10"/>
        <v>365.8</v>
      </c>
      <c r="AJ92">
        <f t="shared" si="11"/>
        <v>850.50000000000011</v>
      </c>
    </row>
    <row r="93" spans="1:36" hidden="1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 s="1">
        <f t="shared" si="6"/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  <c r="AF93">
        <f t="shared" si="7"/>
        <v>1642.8999999999999</v>
      </c>
      <c r="AG93">
        <f t="shared" si="8"/>
        <v>364.1</v>
      </c>
      <c r="AH93">
        <f t="shared" si="9"/>
        <v>249.7</v>
      </c>
      <c r="AI93">
        <f t="shared" si="10"/>
        <v>360.6</v>
      </c>
      <c r="AJ93">
        <f t="shared" si="11"/>
        <v>823.1</v>
      </c>
    </row>
    <row r="94" spans="1:36" hidden="1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 s="1">
        <f t="shared" si="6"/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  <c r="AF94">
        <f t="shared" si="7"/>
        <v>1630.6000000000001</v>
      </c>
      <c r="AG94">
        <f t="shared" si="8"/>
        <v>375.1</v>
      </c>
      <c r="AH94">
        <f t="shared" si="9"/>
        <v>247.60000000000002</v>
      </c>
      <c r="AI94">
        <f t="shared" si="10"/>
        <v>364.4</v>
      </c>
      <c r="AJ94">
        <f t="shared" si="11"/>
        <v>838.6</v>
      </c>
    </row>
    <row r="95" spans="1:36" hidden="1" x14ac:dyDescent="0.3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V95" s="1">
        <f t="shared" si="6"/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  <c r="AF95">
        <f t="shared" si="7"/>
        <v>1646.6</v>
      </c>
      <c r="AG95">
        <f t="shared" si="8"/>
        <v>384.8</v>
      </c>
      <c r="AH95">
        <f t="shared" si="9"/>
        <v>248.6</v>
      </c>
      <c r="AI95">
        <f t="shared" si="10"/>
        <v>368.29999999999995</v>
      </c>
      <c r="AJ95">
        <f t="shared" si="11"/>
        <v>852.80000000000007</v>
      </c>
    </row>
    <row r="96" spans="1:36" hidden="1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 s="1">
        <f t="shared" si="6"/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  <c r="AF96">
        <f t="shared" si="7"/>
        <v>1658.8999999999999</v>
      </c>
      <c r="AG96">
        <f t="shared" si="8"/>
        <v>364.8</v>
      </c>
      <c r="AH96">
        <f t="shared" si="9"/>
        <v>251.39999999999998</v>
      </c>
      <c r="AI96">
        <f t="shared" si="10"/>
        <v>362.4</v>
      </c>
      <c r="AJ96">
        <f t="shared" si="11"/>
        <v>822.90000000000009</v>
      </c>
    </row>
    <row r="97" spans="1:36" hidden="1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 s="1">
        <f t="shared" si="6"/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  <c r="AF97">
        <f t="shared" si="7"/>
        <v>1649.6</v>
      </c>
      <c r="AG97">
        <f t="shared" si="8"/>
        <v>376.70000000000005</v>
      </c>
      <c r="AH97">
        <f t="shared" si="9"/>
        <v>249</v>
      </c>
      <c r="AI97">
        <f t="shared" si="10"/>
        <v>366.6</v>
      </c>
      <c r="AJ97">
        <f t="shared" si="11"/>
        <v>839.90000000000009</v>
      </c>
    </row>
    <row r="98" spans="1:36" hidden="1" x14ac:dyDescent="0.3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V98" s="1">
        <f t="shared" si="6"/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  <c r="AF98">
        <f t="shared" si="7"/>
        <v>1657.6000000000001</v>
      </c>
      <c r="AG98">
        <f t="shared" si="8"/>
        <v>387.1</v>
      </c>
      <c r="AH98">
        <f t="shared" si="9"/>
        <v>250.6</v>
      </c>
      <c r="AI98">
        <f t="shared" si="10"/>
        <v>369.8</v>
      </c>
      <c r="AJ98">
        <f t="shared" si="11"/>
        <v>857.9</v>
      </c>
    </row>
    <row r="99" spans="1:36" hidden="1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 s="1">
        <f t="shared" si="6"/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  <c r="AF99">
        <f t="shared" si="7"/>
        <v>1664.8</v>
      </c>
      <c r="AG99">
        <f t="shared" si="8"/>
        <v>365.8</v>
      </c>
      <c r="AH99">
        <f t="shared" si="9"/>
        <v>252</v>
      </c>
      <c r="AI99">
        <f t="shared" si="10"/>
        <v>363.2</v>
      </c>
      <c r="AJ99">
        <f t="shared" si="11"/>
        <v>824.40000000000009</v>
      </c>
    </row>
    <row r="100" spans="1:36" hidden="1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 s="1">
        <f t="shared" si="6"/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  <c r="AF100">
        <f t="shared" si="7"/>
        <v>1658.3000000000002</v>
      </c>
      <c r="AG100">
        <f t="shared" si="8"/>
        <v>378.5</v>
      </c>
      <c r="AH100">
        <f t="shared" si="9"/>
        <v>250.3</v>
      </c>
      <c r="AI100">
        <f t="shared" si="10"/>
        <v>367.7</v>
      </c>
      <c r="AJ100">
        <f t="shared" si="11"/>
        <v>843.3</v>
      </c>
    </row>
    <row r="101" spans="1:36" hidden="1" x14ac:dyDescent="0.3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V101" s="1">
        <f t="shared" si="6"/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  <c r="AF101">
        <f t="shared" si="7"/>
        <v>1674.6</v>
      </c>
      <c r="AG101">
        <f t="shared" si="8"/>
        <v>389</v>
      </c>
      <c r="AH101">
        <f t="shared" si="9"/>
        <v>251.6</v>
      </c>
      <c r="AI101">
        <f t="shared" si="10"/>
        <v>371.9</v>
      </c>
      <c r="AJ101">
        <f t="shared" si="11"/>
        <v>861.30000000000007</v>
      </c>
    </row>
    <row r="102" spans="1:36" hidden="1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 s="1">
        <f t="shared" si="6"/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  <c r="AF102">
        <f t="shared" si="7"/>
        <v>1692.8000000000002</v>
      </c>
      <c r="AG102">
        <f t="shared" si="8"/>
        <v>366.79999999999995</v>
      </c>
      <c r="AH102">
        <f t="shared" si="9"/>
        <v>253</v>
      </c>
      <c r="AI102">
        <f t="shared" si="10"/>
        <v>363.8</v>
      </c>
      <c r="AJ102">
        <f t="shared" si="11"/>
        <v>826.8</v>
      </c>
    </row>
    <row r="103" spans="1:36" hidden="1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 s="1">
        <f t="shared" si="6"/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  <c r="AF103">
        <f t="shared" si="7"/>
        <v>1678.9999999999998</v>
      </c>
      <c r="AG103">
        <f t="shared" si="8"/>
        <v>380.1</v>
      </c>
      <c r="AH103">
        <f t="shared" si="9"/>
        <v>251.2</v>
      </c>
      <c r="AI103">
        <f t="shared" si="10"/>
        <v>369.1</v>
      </c>
      <c r="AJ103">
        <f t="shared" si="11"/>
        <v>846.3</v>
      </c>
    </row>
    <row r="104" spans="1:36" hidden="1" x14ac:dyDescent="0.3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V104" s="1">
        <f t="shared" si="6"/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  <c r="AF104">
        <f t="shared" si="7"/>
        <v>1686.3</v>
      </c>
      <c r="AG104">
        <f t="shared" si="8"/>
        <v>391.79999999999995</v>
      </c>
      <c r="AH104">
        <f t="shared" si="9"/>
        <v>253.1</v>
      </c>
      <c r="AI104">
        <f t="shared" si="10"/>
        <v>374.3</v>
      </c>
      <c r="AJ104">
        <f t="shared" si="11"/>
        <v>865.2</v>
      </c>
    </row>
    <row r="105" spans="1:36" hidden="1" x14ac:dyDescent="0.3">
      <c r="A105" t="s">
        <v>32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 s="1">
        <f t="shared" si="6"/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  <c r="AF105">
        <f t="shared" si="7"/>
        <v>1708.4999999999998</v>
      </c>
      <c r="AG105">
        <f t="shared" si="8"/>
        <v>368.5</v>
      </c>
      <c r="AH105">
        <f t="shared" si="9"/>
        <v>255.5</v>
      </c>
      <c r="AI105">
        <f t="shared" si="10"/>
        <v>364.6</v>
      </c>
      <c r="AJ105">
        <f t="shared" si="11"/>
        <v>828.69999999999993</v>
      </c>
    </row>
    <row r="106" spans="1:36" hidden="1" x14ac:dyDescent="0.3">
      <c r="A106" t="s">
        <v>33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 s="1">
        <f t="shared" si="6"/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  <c r="AF106">
        <f t="shared" si="7"/>
        <v>1692.1</v>
      </c>
      <c r="AG106">
        <f t="shared" si="8"/>
        <v>382.4</v>
      </c>
      <c r="AH106">
        <f t="shared" si="9"/>
        <v>252.8</v>
      </c>
      <c r="AI106">
        <f t="shared" si="10"/>
        <v>370.8</v>
      </c>
      <c r="AJ106">
        <f t="shared" si="11"/>
        <v>849.19999999999993</v>
      </c>
    </row>
    <row r="107" spans="1:36" hidden="1" x14ac:dyDescent="0.3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V107" s="1">
        <f t="shared" si="6"/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  <c r="AF107">
        <f t="shared" si="7"/>
        <v>1682.3000000000002</v>
      </c>
      <c r="AG107">
        <f t="shared" si="8"/>
        <v>392.9</v>
      </c>
      <c r="AH107">
        <f t="shared" si="9"/>
        <v>254.7</v>
      </c>
      <c r="AI107">
        <f t="shared" si="10"/>
        <v>373.70000000000005</v>
      </c>
      <c r="AJ107">
        <f t="shared" si="11"/>
        <v>866.8</v>
      </c>
    </row>
    <row r="108" spans="1:36" hidden="1" x14ac:dyDescent="0.3">
      <c r="A108" t="s">
        <v>32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 s="1">
        <f t="shared" si="6"/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  <c r="AF108">
        <f t="shared" si="7"/>
        <v>1698.8</v>
      </c>
      <c r="AG108">
        <f t="shared" si="8"/>
        <v>369.4</v>
      </c>
      <c r="AH108">
        <f t="shared" si="9"/>
        <v>256.29999999999995</v>
      </c>
      <c r="AI108">
        <f t="shared" si="10"/>
        <v>365</v>
      </c>
      <c r="AJ108">
        <f t="shared" si="11"/>
        <v>829.6</v>
      </c>
    </row>
    <row r="109" spans="1:36" hidden="1" x14ac:dyDescent="0.3">
      <c r="A109" t="s">
        <v>33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 s="1">
        <f t="shared" si="6"/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  <c r="AF109">
        <f t="shared" si="7"/>
        <v>1686.1000000000001</v>
      </c>
      <c r="AG109">
        <f t="shared" si="8"/>
        <v>383.5</v>
      </c>
      <c r="AH109">
        <f t="shared" si="9"/>
        <v>254.1</v>
      </c>
      <c r="AI109">
        <f t="shared" si="10"/>
        <v>370.6</v>
      </c>
      <c r="AJ109">
        <f t="shared" si="11"/>
        <v>850.6</v>
      </c>
    </row>
    <row r="110" spans="1:36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V110" s="1">
        <f t="shared" si="6"/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  <c r="AF110">
        <f t="shared" si="7"/>
        <v>1690.1000000000001</v>
      </c>
      <c r="AG110">
        <f t="shared" si="8"/>
        <v>394.70000000000005</v>
      </c>
      <c r="AH110">
        <f t="shared" si="9"/>
        <v>255</v>
      </c>
      <c r="AI110">
        <f t="shared" si="10"/>
        <v>375.8</v>
      </c>
      <c r="AJ110">
        <f t="shared" si="11"/>
        <v>869.90000000000009</v>
      </c>
    </row>
    <row r="111" spans="1:36" hidden="1" x14ac:dyDescent="0.3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 s="1">
        <f t="shared" si="6"/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  <c r="AF111">
        <f t="shared" si="7"/>
        <v>1701.4</v>
      </c>
      <c r="AG111">
        <f t="shared" si="8"/>
        <v>370.5</v>
      </c>
      <c r="AH111">
        <f t="shared" si="9"/>
        <v>258</v>
      </c>
      <c r="AI111">
        <f t="shared" si="10"/>
        <v>366.70000000000005</v>
      </c>
      <c r="AJ111">
        <f t="shared" si="11"/>
        <v>831.8</v>
      </c>
    </row>
    <row r="112" spans="1:36" hidden="1" x14ac:dyDescent="0.3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 s="1">
        <f t="shared" si="6"/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  <c r="AF112">
        <f t="shared" si="7"/>
        <v>1691.7</v>
      </c>
      <c r="AG112">
        <f t="shared" si="8"/>
        <v>384.9</v>
      </c>
      <c r="AH112">
        <f t="shared" si="9"/>
        <v>255</v>
      </c>
      <c r="AI112">
        <f t="shared" si="10"/>
        <v>372.40000000000003</v>
      </c>
      <c r="AJ112">
        <f t="shared" si="11"/>
        <v>853.19999999999993</v>
      </c>
    </row>
    <row r="113" spans="1:36" hidden="1" x14ac:dyDescent="0.3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V113" s="1">
        <f t="shared" si="6"/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  <c r="AF113">
        <f t="shared" si="7"/>
        <v>1682.6</v>
      </c>
      <c r="AG113">
        <f t="shared" si="8"/>
        <v>397.1</v>
      </c>
      <c r="AH113">
        <f t="shared" si="9"/>
        <v>256.7</v>
      </c>
      <c r="AI113">
        <f t="shared" si="10"/>
        <v>379</v>
      </c>
      <c r="AJ113">
        <f t="shared" si="11"/>
        <v>875.8</v>
      </c>
    </row>
    <row r="114" spans="1:36" hidden="1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 s="1">
        <f t="shared" si="6"/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  <c r="AF114">
        <f t="shared" si="7"/>
        <v>1676.1</v>
      </c>
      <c r="AG114">
        <f t="shared" si="8"/>
        <v>371.6</v>
      </c>
      <c r="AH114">
        <f t="shared" si="9"/>
        <v>258.8</v>
      </c>
      <c r="AI114">
        <f t="shared" si="10"/>
        <v>366.7</v>
      </c>
      <c r="AJ114">
        <f t="shared" si="11"/>
        <v>835.90000000000009</v>
      </c>
    </row>
    <row r="115" spans="1:36" hidden="1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 s="1">
        <f t="shared" si="6"/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  <c r="AF115">
        <f t="shared" si="7"/>
        <v>1678.1</v>
      </c>
      <c r="AG115">
        <f t="shared" si="8"/>
        <v>386.9</v>
      </c>
      <c r="AH115">
        <f t="shared" si="9"/>
        <v>256.2</v>
      </c>
      <c r="AI115">
        <f t="shared" si="10"/>
        <v>374.1</v>
      </c>
      <c r="AJ115">
        <f t="shared" si="11"/>
        <v>858.6</v>
      </c>
    </row>
    <row r="116" spans="1:36" hidden="1" x14ac:dyDescent="0.3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V116" s="1">
        <f t="shared" si="6"/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  <c r="AF116">
        <f t="shared" si="7"/>
        <v>1682.7000000000003</v>
      </c>
      <c r="AG116">
        <f t="shared" si="8"/>
        <v>398.40000000000003</v>
      </c>
      <c r="AH116">
        <f t="shared" si="9"/>
        <v>257.5</v>
      </c>
      <c r="AI116">
        <f t="shared" si="10"/>
        <v>379.4</v>
      </c>
      <c r="AJ116">
        <f t="shared" si="11"/>
        <v>878.2</v>
      </c>
    </row>
    <row r="117" spans="1:36" hidden="1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 s="1">
        <f t="shared" si="6"/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  <c r="AF117">
        <f t="shared" si="7"/>
        <v>1667.6000000000001</v>
      </c>
      <c r="AG117">
        <f t="shared" si="8"/>
        <v>372.2</v>
      </c>
      <c r="AH117">
        <f t="shared" si="9"/>
        <v>259.7</v>
      </c>
      <c r="AI117">
        <f t="shared" si="10"/>
        <v>366.1</v>
      </c>
      <c r="AJ117">
        <f t="shared" si="11"/>
        <v>837.4</v>
      </c>
    </row>
    <row r="118" spans="1:36" hidden="1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 s="1">
        <f t="shared" si="6"/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  <c r="AF118">
        <f t="shared" si="7"/>
        <v>1675.2</v>
      </c>
      <c r="AG118">
        <f t="shared" si="8"/>
        <v>387.9</v>
      </c>
      <c r="AH118">
        <f t="shared" si="9"/>
        <v>257.10000000000002</v>
      </c>
      <c r="AI118">
        <f t="shared" si="10"/>
        <v>374.20000000000005</v>
      </c>
      <c r="AJ118">
        <f t="shared" si="11"/>
        <v>860.49999999999989</v>
      </c>
    </row>
    <row r="119" spans="1:36" hidden="1" x14ac:dyDescent="0.3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V119" s="1">
        <f t="shared" si="6"/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  <c r="AF119">
        <f t="shared" si="7"/>
        <v>1701.6000000000004</v>
      </c>
      <c r="AG119">
        <f t="shared" si="8"/>
        <v>400</v>
      </c>
      <c r="AH119">
        <f t="shared" si="9"/>
        <v>258.7</v>
      </c>
      <c r="AI119">
        <f t="shared" si="10"/>
        <v>380.5</v>
      </c>
      <c r="AJ119">
        <f t="shared" si="11"/>
        <v>882.5</v>
      </c>
    </row>
    <row r="120" spans="1:36" hidden="1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 s="1">
        <f t="shared" si="6"/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  <c r="AF120">
        <f t="shared" si="7"/>
        <v>1706.3</v>
      </c>
      <c r="AG120">
        <f t="shared" si="8"/>
        <v>373.1</v>
      </c>
      <c r="AH120">
        <f t="shared" si="9"/>
        <v>261</v>
      </c>
      <c r="AI120">
        <f t="shared" si="10"/>
        <v>367.79999999999995</v>
      </c>
      <c r="AJ120">
        <f t="shared" si="11"/>
        <v>841.70000000000016</v>
      </c>
    </row>
    <row r="121" spans="1:36" hidden="1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 s="1">
        <f t="shared" si="6"/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  <c r="AF121">
        <f t="shared" si="7"/>
        <v>1701.3</v>
      </c>
      <c r="AG121">
        <f t="shared" si="8"/>
        <v>389.20000000000005</v>
      </c>
      <c r="AH121">
        <f t="shared" si="9"/>
        <v>258.2</v>
      </c>
      <c r="AI121">
        <f t="shared" si="10"/>
        <v>375.59999999999997</v>
      </c>
      <c r="AJ121">
        <f t="shared" si="11"/>
        <v>864.90000000000009</v>
      </c>
    </row>
    <row r="122" spans="1:36" hidden="1" x14ac:dyDescent="0.3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V122" s="1">
        <f t="shared" si="6"/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  <c r="AF122">
        <f t="shared" si="7"/>
        <v>1723.6999999999998</v>
      </c>
      <c r="AG122">
        <f t="shared" si="8"/>
        <v>401.3</v>
      </c>
      <c r="AH122">
        <f t="shared" si="9"/>
        <v>259.60000000000002</v>
      </c>
      <c r="AI122">
        <f t="shared" si="10"/>
        <v>382.5</v>
      </c>
      <c r="AJ122">
        <f t="shared" si="11"/>
        <v>887.1</v>
      </c>
    </row>
    <row r="123" spans="1:36" hidden="1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 s="1">
        <f t="shared" si="6"/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  <c r="AF123">
        <f t="shared" si="7"/>
        <v>1746.7999999999997</v>
      </c>
      <c r="AG123">
        <f t="shared" si="8"/>
        <v>374.1</v>
      </c>
      <c r="AH123">
        <f t="shared" si="9"/>
        <v>262</v>
      </c>
      <c r="AI123">
        <f t="shared" si="10"/>
        <v>369</v>
      </c>
      <c r="AJ123">
        <f t="shared" si="11"/>
        <v>845.2</v>
      </c>
    </row>
    <row r="124" spans="1:36" hidden="1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 s="1">
        <f t="shared" si="6"/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  <c r="AF124">
        <f t="shared" si="7"/>
        <v>1730.4</v>
      </c>
      <c r="AG124">
        <f t="shared" si="8"/>
        <v>390.4</v>
      </c>
      <c r="AH124">
        <f t="shared" si="9"/>
        <v>259.2</v>
      </c>
      <c r="AI124">
        <f t="shared" si="10"/>
        <v>377.2</v>
      </c>
      <c r="AJ124">
        <f t="shared" si="11"/>
        <v>869.1</v>
      </c>
    </row>
    <row r="125" spans="1:36" hidden="1" x14ac:dyDescent="0.3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V125" s="1">
        <f t="shared" si="6"/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  <c r="AF125">
        <f t="shared" si="7"/>
        <v>1748.6</v>
      </c>
      <c r="AG125">
        <f t="shared" si="8"/>
        <v>403.5</v>
      </c>
      <c r="AH125">
        <f t="shared" si="9"/>
        <v>261.29999999999995</v>
      </c>
      <c r="AI125">
        <f t="shared" si="10"/>
        <v>383.7</v>
      </c>
      <c r="AJ125">
        <f t="shared" si="11"/>
        <v>892.29999999999984</v>
      </c>
    </row>
    <row r="126" spans="1:36" hidden="1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 s="1">
        <f t="shared" si="6"/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  <c r="AF126">
        <f t="shared" si="7"/>
        <v>1787.0000000000002</v>
      </c>
      <c r="AG126">
        <f t="shared" si="8"/>
        <v>375.29999999999995</v>
      </c>
      <c r="AH126">
        <f t="shared" si="9"/>
        <v>262.60000000000002</v>
      </c>
      <c r="AI126">
        <f t="shared" si="10"/>
        <v>370.3</v>
      </c>
      <c r="AJ126">
        <f t="shared" si="11"/>
        <v>849.19999999999993</v>
      </c>
    </row>
    <row r="127" spans="1:36" hidden="1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 s="1">
        <f t="shared" si="6"/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  <c r="AF127">
        <f t="shared" si="7"/>
        <v>1760.6</v>
      </c>
      <c r="AG127">
        <f t="shared" si="8"/>
        <v>392.1</v>
      </c>
      <c r="AH127">
        <f t="shared" si="9"/>
        <v>260.39999999999998</v>
      </c>
      <c r="AI127">
        <f t="shared" si="10"/>
        <v>378.5</v>
      </c>
      <c r="AJ127">
        <f t="shared" si="11"/>
        <v>873.6</v>
      </c>
    </row>
    <row r="128" spans="1:36" hidden="1" x14ac:dyDescent="0.3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V128" s="1">
        <f t="shared" si="6"/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  <c r="AF128">
        <f t="shared" si="7"/>
        <v>1770.2999999999997</v>
      </c>
      <c r="AG128">
        <f t="shared" si="8"/>
        <v>405.9</v>
      </c>
      <c r="AH128">
        <f t="shared" si="9"/>
        <v>263.2</v>
      </c>
      <c r="AI128">
        <f t="shared" si="10"/>
        <v>385.4</v>
      </c>
      <c r="AJ128">
        <f t="shared" si="11"/>
        <v>896.99999999999989</v>
      </c>
    </row>
    <row r="129" spans="1:36" hidden="1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 s="1">
        <f t="shared" si="6"/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  <c r="AF129">
        <f t="shared" si="7"/>
        <v>1811.5000000000002</v>
      </c>
      <c r="AG129">
        <f t="shared" si="8"/>
        <v>375.9</v>
      </c>
      <c r="AH129">
        <f t="shared" si="9"/>
        <v>263.2</v>
      </c>
      <c r="AI129">
        <f t="shared" si="10"/>
        <v>372.70000000000005</v>
      </c>
      <c r="AJ129">
        <f t="shared" si="11"/>
        <v>851</v>
      </c>
    </row>
    <row r="130" spans="1:36" hidden="1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 s="1">
        <f t="shared" ref="V130:V193" si="12">IF(ISBLANK(U130), U131, U130)</f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  <c r="AF130">
        <f t="shared" ref="AF130:AF193" si="13">SUM(D130:P130)</f>
        <v>1783.5</v>
      </c>
      <c r="AG130">
        <f t="shared" ref="AG130:AG193" si="14">SUM(R130:T130)</f>
        <v>393.8</v>
      </c>
      <c r="AH130">
        <f t="shared" ref="AH130:AH193" si="15">SUM(Q130,AA130)</f>
        <v>261.70000000000005</v>
      </c>
      <c r="AI130">
        <f t="shared" ref="AI130:AI193" si="16">SUM(V130,W130,AB130)</f>
        <v>380.6</v>
      </c>
      <c r="AJ130">
        <f t="shared" ref="AJ130:AJ193" si="17">SUM(R130,S130,T130,X130,Z130,AC130,AD130)</f>
        <v>877</v>
      </c>
    </row>
    <row r="131" spans="1:36" hidden="1" x14ac:dyDescent="0.3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V131" s="1">
        <f t="shared" si="12"/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  <c r="AF131">
        <f t="shared" si="13"/>
        <v>1777.4999999999998</v>
      </c>
      <c r="AG131">
        <f t="shared" si="14"/>
        <v>407.9</v>
      </c>
      <c r="AH131">
        <f t="shared" si="15"/>
        <v>264.39999999999998</v>
      </c>
      <c r="AI131">
        <f t="shared" si="16"/>
        <v>388.29999999999995</v>
      </c>
      <c r="AJ131">
        <f t="shared" si="17"/>
        <v>900.7</v>
      </c>
    </row>
    <row r="132" spans="1:36" hidden="1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 s="1">
        <f t="shared" si="12"/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  <c r="AF132">
        <f t="shared" si="13"/>
        <v>1783.9999999999995</v>
      </c>
      <c r="AG132">
        <f t="shared" si="14"/>
        <v>377</v>
      </c>
      <c r="AH132">
        <f t="shared" si="15"/>
        <v>264.2</v>
      </c>
      <c r="AI132">
        <f t="shared" si="16"/>
        <v>373.5</v>
      </c>
      <c r="AJ132">
        <f t="shared" si="17"/>
        <v>852.09999999999991</v>
      </c>
    </row>
    <row r="133" spans="1:36" hidden="1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 s="1">
        <f t="shared" si="12"/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  <c r="AF133">
        <f t="shared" si="13"/>
        <v>1777.9</v>
      </c>
      <c r="AG133">
        <f t="shared" si="14"/>
        <v>395.49999999999994</v>
      </c>
      <c r="AH133">
        <f t="shared" si="15"/>
        <v>262.89999999999998</v>
      </c>
      <c r="AI133">
        <f t="shared" si="16"/>
        <v>382.59999999999997</v>
      </c>
      <c r="AJ133">
        <f t="shared" si="17"/>
        <v>879.6</v>
      </c>
    </row>
    <row r="134" spans="1:36" hidden="1" x14ac:dyDescent="0.3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V134" s="1">
        <f t="shared" si="12"/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  <c r="AF134">
        <f t="shared" si="13"/>
        <v>1770.7</v>
      </c>
      <c r="AG134">
        <f t="shared" si="14"/>
        <v>409.8</v>
      </c>
      <c r="AH134">
        <f t="shared" si="15"/>
        <v>265.60000000000002</v>
      </c>
      <c r="AI134">
        <f t="shared" si="16"/>
        <v>389.8</v>
      </c>
      <c r="AJ134">
        <f t="shared" si="17"/>
        <v>905.59999999999991</v>
      </c>
    </row>
    <row r="135" spans="1:36" hidden="1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 s="1">
        <f t="shared" si="12"/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  <c r="AF135">
        <f t="shared" si="13"/>
        <v>1756.3999999999996</v>
      </c>
      <c r="AG135">
        <f t="shared" si="14"/>
        <v>378</v>
      </c>
      <c r="AH135">
        <f t="shared" si="15"/>
        <v>264.7</v>
      </c>
      <c r="AI135">
        <f t="shared" si="16"/>
        <v>374.29999999999995</v>
      </c>
      <c r="AJ135">
        <f t="shared" si="17"/>
        <v>855.80000000000007</v>
      </c>
    </row>
    <row r="136" spans="1:36" hidden="1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 s="1">
        <f t="shared" si="12"/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  <c r="AF136">
        <f t="shared" si="13"/>
        <v>1763.6999999999998</v>
      </c>
      <c r="AG136">
        <f t="shared" si="14"/>
        <v>397</v>
      </c>
      <c r="AH136">
        <f t="shared" si="15"/>
        <v>263.89999999999998</v>
      </c>
      <c r="AI136">
        <f t="shared" si="16"/>
        <v>383.8</v>
      </c>
      <c r="AJ136">
        <f t="shared" si="17"/>
        <v>884.09999999999991</v>
      </c>
    </row>
    <row r="137" spans="1:36" hidden="1" x14ac:dyDescent="0.3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V137" s="1">
        <f t="shared" si="12"/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  <c r="AF137">
        <f t="shared" si="13"/>
        <v>1771.8000000000002</v>
      </c>
      <c r="AG137">
        <f t="shared" si="14"/>
        <v>412.7</v>
      </c>
      <c r="AH137">
        <f t="shared" si="15"/>
        <v>267.39999999999998</v>
      </c>
      <c r="AI137">
        <f t="shared" si="16"/>
        <v>391.5</v>
      </c>
      <c r="AJ137">
        <f t="shared" si="17"/>
        <v>911</v>
      </c>
    </row>
    <row r="138" spans="1:36" hidden="1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 s="1">
        <f t="shared" si="12"/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  <c r="AF138">
        <f t="shared" si="13"/>
        <v>1762.8999999999999</v>
      </c>
      <c r="AG138">
        <f t="shared" si="14"/>
        <v>379</v>
      </c>
      <c r="AH138">
        <f t="shared" si="15"/>
        <v>265.5</v>
      </c>
      <c r="AI138">
        <f t="shared" si="16"/>
        <v>375.79999999999995</v>
      </c>
      <c r="AJ138">
        <f t="shared" si="17"/>
        <v>857.99999999999989</v>
      </c>
    </row>
    <row r="139" spans="1:36" hidden="1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 s="1">
        <f t="shared" si="12"/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  <c r="AF139">
        <f t="shared" si="13"/>
        <v>1766.7999999999995</v>
      </c>
      <c r="AG139">
        <f t="shared" si="14"/>
        <v>399.1</v>
      </c>
      <c r="AH139">
        <f t="shared" si="15"/>
        <v>265.3</v>
      </c>
      <c r="AI139">
        <f t="shared" si="16"/>
        <v>385.4</v>
      </c>
      <c r="AJ139">
        <f t="shared" si="17"/>
        <v>888.2</v>
      </c>
    </row>
    <row r="140" spans="1:36" hidden="1" x14ac:dyDescent="0.3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V140" s="1">
        <f t="shared" si="12"/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  <c r="AF140">
        <f t="shared" si="13"/>
        <v>1764.6</v>
      </c>
      <c r="AG140">
        <f t="shared" si="14"/>
        <v>413.59999999999997</v>
      </c>
      <c r="AH140">
        <f t="shared" si="15"/>
        <v>268.10000000000002</v>
      </c>
      <c r="AI140">
        <f t="shared" si="16"/>
        <v>393.09999999999997</v>
      </c>
      <c r="AJ140">
        <f t="shared" si="17"/>
        <v>913.5</v>
      </c>
    </row>
    <row r="141" spans="1:36" hidden="1" x14ac:dyDescent="0.3">
      <c r="A141" t="s">
        <v>32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 s="1">
        <f t="shared" si="12"/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  <c r="AF141">
        <f t="shared" si="13"/>
        <v>1755.2</v>
      </c>
      <c r="AG141">
        <f t="shared" si="14"/>
        <v>380.2</v>
      </c>
      <c r="AH141">
        <f t="shared" si="15"/>
        <v>266</v>
      </c>
      <c r="AI141">
        <f t="shared" si="16"/>
        <v>377.4</v>
      </c>
      <c r="AJ141">
        <f t="shared" si="17"/>
        <v>860.89999999999986</v>
      </c>
    </row>
    <row r="142" spans="1:36" hidden="1" x14ac:dyDescent="0.3">
      <c r="A142" t="s">
        <v>33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 s="1">
        <f t="shared" si="12"/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  <c r="AF142">
        <f t="shared" si="13"/>
        <v>1759.8</v>
      </c>
      <c r="AG142">
        <f t="shared" si="14"/>
        <v>400.1</v>
      </c>
      <c r="AH142">
        <f t="shared" si="15"/>
        <v>266</v>
      </c>
      <c r="AI142">
        <f t="shared" si="16"/>
        <v>386.9</v>
      </c>
      <c r="AJ142">
        <f t="shared" si="17"/>
        <v>890.80000000000007</v>
      </c>
    </row>
    <row r="143" spans="1:36" hidden="1" x14ac:dyDescent="0.3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V143" s="1">
        <f t="shared" si="12"/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  <c r="AF143">
        <f t="shared" si="13"/>
        <v>1749.1</v>
      </c>
      <c r="AG143">
        <f t="shared" si="14"/>
        <v>415.3</v>
      </c>
      <c r="AH143">
        <f t="shared" si="15"/>
        <v>269.7</v>
      </c>
      <c r="AI143">
        <f t="shared" si="16"/>
        <v>394.7</v>
      </c>
      <c r="AJ143">
        <f t="shared" si="17"/>
        <v>915</v>
      </c>
    </row>
    <row r="144" spans="1:36" hidden="1" x14ac:dyDescent="0.3">
      <c r="A144" t="s">
        <v>32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 s="1">
        <f t="shared" si="12"/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  <c r="AF144">
        <f t="shared" si="13"/>
        <v>1729.8</v>
      </c>
      <c r="AG144">
        <f t="shared" si="14"/>
        <v>381</v>
      </c>
      <c r="AH144">
        <f t="shared" si="15"/>
        <v>266.8</v>
      </c>
      <c r="AI144">
        <f t="shared" si="16"/>
        <v>378.6</v>
      </c>
      <c r="AJ144">
        <f t="shared" si="17"/>
        <v>861</v>
      </c>
    </row>
    <row r="145" spans="1:36" hidden="1" x14ac:dyDescent="0.3">
      <c r="A145" t="s">
        <v>33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 s="1">
        <f t="shared" si="12"/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  <c r="AF145">
        <f t="shared" si="13"/>
        <v>1740.7</v>
      </c>
      <c r="AG145">
        <f t="shared" si="14"/>
        <v>401.5</v>
      </c>
      <c r="AH145">
        <f t="shared" si="15"/>
        <v>267.3</v>
      </c>
      <c r="AI145">
        <f t="shared" si="16"/>
        <v>388.2</v>
      </c>
      <c r="AJ145">
        <f t="shared" si="17"/>
        <v>891.7</v>
      </c>
    </row>
    <row r="146" spans="1:36" hidden="1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V146" s="1">
        <f t="shared" si="12"/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  <c r="AF146">
        <f t="shared" si="13"/>
        <v>1737.3000000000002</v>
      </c>
      <c r="AG146">
        <f t="shared" si="14"/>
        <v>416.5</v>
      </c>
      <c r="AH146">
        <f t="shared" si="15"/>
        <v>270.10000000000002</v>
      </c>
      <c r="AI146">
        <f t="shared" si="16"/>
        <v>396.29999999999995</v>
      </c>
      <c r="AJ146">
        <f t="shared" si="17"/>
        <v>917.7</v>
      </c>
    </row>
    <row r="147" spans="1:36" hidden="1" x14ac:dyDescent="0.3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 s="1">
        <f t="shared" si="12"/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  <c r="AF147">
        <f t="shared" si="13"/>
        <v>1713.2</v>
      </c>
      <c r="AG147">
        <f t="shared" si="14"/>
        <v>381.5</v>
      </c>
      <c r="AH147">
        <f t="shared" si="15"/>
        <v>267.60000000000002</v>
      </c>
      <c r="AI147">
        <f t="shared" si="16"/>
        <v>380</v>
      </c>
      <c r="AJ147">
        <f t="shared" si="17"/>
        <v>864.80000000000007</v>
      </c>
    </row>
    <row r="148" spans="1:36" hidden="1" x14ac:dyDescent="0.3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 s="1">
        <f t="shared" si="12"/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  <c r="AF148">
        <f t="shared" si="13"/>
        <v>1727.2999999999995</v>
      </c>
      <c r="AG148">
        <f t="shared" si="14"/>
        <v>402.4</v>
      </c>
      <c r="AH148">
        <f t="shared" si="15"/>
        <v>268</v>
      </c>
      <c r="AI148">
        <f t="shared" si="16"/>
        <v>389.7</v>
      </c>
      <c r="AJ148">
        <f t="shared" si="17"/>
        <v>894.9</v>
      </c>
    </row>
    <row r="149" spans="1:36" hidden="1" x14ac:dyDescent="0.3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V149" s="1">
        <f t="shared" si="12"/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  <c r="AF149">
        <f t="shared" si="13"/>
        <v>1734.5000000000002</v>
      </c>
      <c r="AG149">
        <f t="shared" si="14"/>
        <v>416.90000000000003</v>
      </c>
      <c r="AH149">
        <f t="shared" si="15"/>
        <v>271.39999999999998</v>
      </c>
      <c r="AI149">
        <f t="shared" si="16"/>
        <v>398.6</v>
      </c>
      <c r="AJ149">
        <f t="shared" si="17"/>
        <v>920.2</v>
      </c>
    </row>
    <row r="150" spans="1:36" hidden="1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 s="1">
        <f t="shared" si="12"/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  <c r="AF150">
        <f t="shared" si="13"/>
        <v>1705.3000000000002</v>
      </c>
      <c r="AG150">
        <f t="shared" si="14"/>
        <v>382.3</v>
      </c>
      <c r="AH150">
        <f t="shared" si="15"/>
        <v>268.5</v>
      </c>
      <c r="AI150">
        <f t="shared" si="16"/>
        <v>382.1</v>
      </c>
      <c r="AJ150">
        <f t="shared" si="17"/>
        <v>867.2</v>
      </c>
    </row>
    <row r="151" spans="1:36" hidden="1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 s="1">
        <f t="shared" si="12"/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  <c r="AF151">
        <f t="shared" si="13"/>
        <v>1722.3000000000002</v>
      </c>
      <c r="AG151">
        <f t="shared" si="14"/>
        <v>403</v>
      </c>
      <c r="AH151">
        <f t="shared" si="15"/>
        <v>269</v>
      </c>
      <c r="AI151">
        <f t="shared" si="16"/>
        <v>391.79999999999995</v>
      </c>
      <c r="AJ151">
        <f t="shared" si="17"/>
        <v>897.5</v>
      </c>
    </row>
    <row r="152" spans="1:36" hidden="1" x14ac:dyDescent="0.3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V152" s="1">
        <f t="shared" si="12"/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  <c r="AF152">
        <f t="shared" si="13"/>
        <v>1728.5000000000002</v>
      </c>
      <c r="AG152">
        <f t="shared" si="14"/>
        <v>418.59999999999997</v>
      </c>
      <c r="AH152">
        <f t="shared" si="15"/>
        <v>272.5</v>
      </c>
      <c r="AI152">
        <f t="shared" si="16"/>
        <v>400.49999999999994</v>
      </c>
      <c r="AJ152">
        <f t="shared" si="17"/>
        <v>923.19999999999982</v>
      </c>
    </row>
    <row r="153" spans="1:36" hidden="1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 s="1">
        <f t="shared" si="12"/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  <c r="AF153">
        <f t="shared" si="13"/>
        <v>1705.6999999999998</v>
      </c>
      <c r="AG153">
        <f t="shared" si="14"/>
        <v>383.20000000000005</v>
      </c>
      <c r="AH153">
        <f t="shared" si="15"/>
        <v>269.89999999999998</v>
      </c>
      <c r="AI153">
        <f t="shared" si="16"/>
        <v>384.7</v>
      </c>
      <c r="AJ153">
        <f t="shared" si="17"/>
        <v>868.70000000000016</v>
      </c>
    </row>
    <row r="154" spans="1:36" hidden="1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 s="1">
        <f t="shared" si="12"/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  <c r="AF154">
        <f t="shared" si="13"/>
        <v>1718.9</v>
      </c>
      <c r="AG154">
        <f t="shared" si="14"/>
        <v>404.29999999999995</v>
      </c>
      <c r="AH154">
        <f t="shared" si="15"/>
        <v>270.10000000000002</v>
      </c>
      <c r="AI154">
        <f t="shared" si="16"/>
        <v>394</v>
      </c>
      <c r="AJ154">
        <f t="shared" si="17"/>
        <v>899.7</v>
      </c>
    </row>
    <row r="155" spans="1:36" hidden="1" x14ac:dyDescent="0.3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V155" s="1">
        <f t="shared" si="12"/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  <c r="AF155">
        <f t="shared" si="13"/>
        <v>1726.3</v>
      </c>
      <c r="AG155">
        <f t="shared" si="14"/>
        <v>420.80000000000007</v>
      </c>
      <c r="AH155">
        <f t="shared" si="15"/>
        <v>272.70000000000005</v>
      </c>
      <c r="AI155">
        <f t="shared" si="16"/>
        <v>402.4</v>
      </c>
      <c r="AJ155">
        <f t="shared" si="17"/>
        <v>925.50000000000023</v>
      </c>
    </row>
    <row r="156" spans="1:36" hidden="1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 s="1">
        <f t="shared" si="12"/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  <c r="AF156">
        <f t="shared" si="13"/>
        <v>1708.1</v>
      </c>
      <c r="AG156">
        <f t="shared" si="14"/>
        <v>384.2</v>
      </c>
      <c r="AH156">
        <f t="shared" si="15"/>
        <v>270.60000000000002</v>
      </c>
      <c r="AI156">
        <f t="shared" si="16"/>
        <v>386.7</v>
      </c>
      <c r="AJ156">
        <f t="shared" si="17"/>
        <v>869.2</v>
      </c>
    </row>
    <row r="157" spans="1:36" hidden="1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 s="1">
        <f t="shared" si="12"/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  <c r="AF157">
        <f t="shared" si="13"/>
        <v>1718.4</v>
      </c>
      <c r="AG157">
        <f t="shared" si="14"/>
        <v>406.1</v>
      </c>
      <c r="AH157">
        <f t="shared" si="15"/>
        <v>270.5</v>
      </c>
      <c r="AI157">
        <f t="shared" si="16"/>
        <v>396</v>
      </c>
      <c r="AJ157">
        <f t="shared" si="17"/>
        <v>901.30000000000007</v>
      </c>
    </row>
    <row r="158" spans="1:36" hidden="1" x14ac:dyDescent="0.3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V158" s="1">
        <f t="shared" si="12"/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  <c r="AF158">
        <f t="shared" si="13"/>
        <v>1727.4999999999995</v>
      </c>
      <c r="AG158">
        <f t="shared" si="14"/>
        <v>421.6</v>
      </c>
      <c r="AH158">
        <f t="shared" si="15"/>
        <v>274.89999999999998</v>
      </c>
      <c r="AI158">
        <f t="shared" si="16"/>
        <v>403.40000000000003</v>
      </c>
      <c r="AJ158">
        <f t="shared" si="17"/>
        <v>927.5</v>
      </c>
    </row>
    <row r="159" spans="1:36" hidden="1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 s="1">
        <f t="shared" si="12"/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  <c r="AF159">
        <f t="shared" si="13"/>
        <v>1709.6</v>
      </c>
      <c r="AG159">
        <f t="shared" si="14"/>
        <v>384.9</v>
      </c>
      <c r="AH159">
        <f t="shared" si="15"/>
        <v>271.10000000000002</v>
      </c>
      <c r="AI159">
        <f t="shared" si="16"/>
        <v>386</v>
      </c>
      <c r="AJ159">
        <f t="shared" si="17"/>
        <v>870.3</v>
      </c>
    </row>
    <row r="160" spans="1:36" hidden="1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 s="1">
        <f t="shared" si="12"/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  <c r="AF160">
        <f t="shared" si="13"/>
        <v>1719.6000000000001</v>
      </c>
      <c r="AG160">
        <f t="shared" si="14"/>
        <v>406.8</v>
      </c>
      <c r="AH160">
        <f t="shared" si="15"/>
        <v>271.89999999999998</v>
      </c>
      <c r="AI160">
        <f t="shared" si="16"/>
        <v>396.3</v>
      </c>
      <c r="AJ160">
        <f t="shared" si="17"/>
        <v>902.7</v>
      </c>
    </row>
    <row r="161" spans="1:36" hidden="1" x14ac:dyDescent="0.3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V161" s="1">
        <f t="shared" si="12"/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  <c r="AF161">
        <f t="shared" si="13"/>
        <v>1738.8000000000002</v>
      </c>
      <c r="AG161">
        <f t="shared" si="14"/>
        <v>423.09999999999997</v>
      </c>
      <c r="AH161">
        <f t="shared" si="15"/>
        <v>275.60000000000002</v>
      </c>
      <c r="AI161">
        <f t="shared" si="16"/>
        <v>403.1</v>
      </c>
      <c r="AJ161">
        <f t="shared" si="17"/>
        <v>929.9</v>
      </c>
    </row>
    <row r="162" spans="1:36" hidden="1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 s="1">
        <f t="shared" si="12"/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  <c r="AF162">
        <f t="shared" si="13"/>
        <v>1731.0000000000002</v>
      </c>
      <c r="AG162">
        <f t="shared" si="14"/>
        <v>384.9</v>
      </c>
      <c r="AH162">
        <f t="shared" si="15"/>
        <v>271.5</v>
      </c>
      <c r="AI162">
        <f t="shared" si="16"/>
        <v>384.70000000000005</v>
      </c>
      <c r="AJ162">
        <f t="shared" si="17"/>
        <v>870.80000000000007</v>
      </c>
    </row>
    <row r="163" spans="1:36" hidden="1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 s="1">
        <f t="shared" si="12"/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  <c r="AF163">
        <f t="shared" si="13"/>
        <v>1734.7</v>
      </c>
      <c r="AG163">
        <f t="shared" si="14"/>
        <v>407.7</v>
      </c>
      <c r="AH163">
        <f t="shared" si="15"/>
        <v>272.39999999999998</v>
      </c>
      <c r="AI163">
        <f t="shared" si="16"/>
        <v>395.6</v>
      </c>
      <c r="AJ163">
        <f t="shared" si="17"/>
        <v>904.3</v>
      </c>
    </row>
    <row r="164" spans="1:36" hidden="1" x14ac:dyDescent="0.3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V164" s="1">
        <f t="shared" si="12"/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  <c r="AF164">
        <f t="shared" si="13"/>
        <v>1772.9</v>
      </c>
      <c r="AG164">
        <f t="shared" si="14"/>
        <v>425.9</v>
      </c>
      <c r="AH164">
        <f t="shared" si="15"/>
        <v>278</v>
      </c>
      <c r="AI164">
        <f t="shared" si="16"/>
        <v>406.5</v>
      </c>
      <c r="AJ164">
        <f t="shared" si="17"/>
        <v>934.1</v>
      </c>
    </row>
    <row r="165" spans="1:36" hidden="1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 s="1">
        <f t="shared" si="12"/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  <c r="AF165">
        <f t="shared" si="13"/>
        <v>1768.1</v>
      </c>
      <c r="AG165">
        <f t="shared" si="14"/>
        <v>385.70000000000005</v>
      </c>
      <c r="AH165">
        <f t="shared" si="15"/>
        <v>274</v>
      </c>
      <c r="AI165">
        <f t="shared" si="16"/>
        <v>387.8</v>
      </c>
      <c r="AJ165">
        <f t="shared" si="17"/>
        <v>871.50000000000011</v>
      </c>
    </row>
    <row r="166" spans="1:36" hidden="1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 s="1">
        <f t="shared" si="12"/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  <c r="AF166">
        <f t="shared" si="13"/>
        <v>1769.3999999999999</v>
      </c>
      <c r="AG166">
        <f t="shared" si="14"/>
        <v>409.7</v>
      </c>
      <c r="AH166">
        <f t="shared" si="15"/>
        <v>274.79999999999995</v>
      </c>
      <c r="AI166">
        <f t="shared" si="16"/>
        <v>398.8</v>
      </c>
      <c r="AJ166">
        <f t="shared" si="17"/>
        <v>907.1</v>
      </c>
    </row>
    <row r="167" spans="1:36" hidden="1" x14ac:dyDescent="0.3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V167" s="1">
        <f t="shared" si="12"/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  <c r="AF167">
        <f t="shared" si="13"/>
        <v>1792.4999999999998</v>
      </c>
      <c r="AG167">
        <f t="shared" si="14"/>
        <v>429</v>
      </c>
      <c r="AH167">
        <f t="shared" si="15"/>
        <v>280.5</v>
      </c>
      <c r="AI167">
        <f t="shared" si="16"/>
        <v>411</v>
      </c>
      <c r="AJ167">
        <f t="shared" si="17"/>
        <v>941.69999999999982</v>
      </c>
    </row>
    <row r="168" spans="1:36" hidden="1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 s="1">
        <f t="shared" si="12"/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  <c r="AF168">
        <f t="shared" si="13"/>
        <v>1772.9999999999998</v>
      </c>
      <c r="AG168">
        <f t="shared" si="14"/>
        <v>388.4</v>
      </c>
      <c r="AH168">
        <f t="shared" si="15"/>
        <v>276.2</v>
      </c>
      <c r="AI168">
        <f t="shared" si="16"/>
        <v>389</v>
      </c>
      <c r="AJ168">
        <f t="shared" si="17"/>
        <v>877.8</v>
      </c>
    </row>
    <row r="169" spans="1:36" hidden="1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 s="1">
        <f t="shared" si="12"/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  <c r="AF169">
        <f t="shared" si="13"/>
        <v>1783.8</v>
      </c>
      <c r="AG169">
        <f t="shared" si="14"/>
        <v>412.6</v>
      </c>
      <c r="AH169">
        <f t="shared" si="15"/>
        <v>277.10000000000002</v>
      </c>
      <c r="AI169">
        <f t="shared" si="16"/>
        <v>401.80000000000007</v>
      </c>
      <c r="AJ169">
        <f t="shared" si="17"/>
        <v>914</v>
      </c>
    </row>
    <row r="170" spans="1:36" hidden="1" x14ac:dyDescent="0.3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V170" s="1">
        <f t="shared" si="12"/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  <c r="AF170">
        <f t="shared" si="13"/>
        <v>1784.3</v>
      </c>
      <c r="AG170">
        <f t="shared" si="14"/>
        <v>430.99999999999994</v>
      </c>
      <c r="AH170">
        <f t="shared" si="15"/>
        <v>282.10000000000002</v>
      </c>
      <c r="AI170">
        <f t="shared" si="16"/>
        <v>412.70000000000005</v>
      </c>
      <c r="AJ170">
        <f t="shared" si="17"/>
        <v>947.10000000000014</v>
      </c>
    </row>
    <row r="171" spans="1:36" hidden="1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 s="1">
        <f t="shared" si="12"/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  <c r="AF171">
        <f t="shared" si="13"/>
        <v>1749.7</v>
      </c>
      <c r="AG171">
        <f t="shared" si="14"/>
        <v>389.9</v>
      </c>
      <c r="AH171">
        <f t="shared" si="15"/>
        <v>278.10000000000002</v>
      </c>
      <c r="AI171">
        <f t="shared" si="16"/>
        <v>392.19999999999993</v>
      </c>
      <c r="AJ171">
        <f t="shared" si="17"/>
        <v>882.6</v>
      </c>
    </row>
    <row r="172" spans="1:36" hidden="1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 s="1">
        <f t="shared" si="12"/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  <c r="AF172">
        <f t="shared" si="13"/>
        <v>1769.9999999999998</v>
      </c>
      <c r="AG172">
        <f t="shared" si="14"/>
        <v>414.5</v>
      </c>
      <c r="AH172">
        <f t="shared" si="15"/>
        <v>278.70000000000005</v>
      </c>
      <c r="AI172">
        <f t="shared" si="16"/>
        <v>404.1</v>
      </c>
      <c r="AJ172">
        <f t="shared" si="17"/>
        <v>919.3</v>
      </c>
    </row>
    <row r="173" spans="1:36" hidden="1" x14ac:dyDescent="0.3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V173" s="1">
        <f t="shared" si="12"/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  <c r="AF173">
        <f t="shared" si="13"/>
        <v>1790.8999999999999</v>
      </c>
      <c r="AG173">
        <f t="shared" si="14"/>
        <v>433.99999999999994</v>
      </c>
      <c r="AH173">
        <f t="shared" si="15"/>
        <v>283.5</v>
      </c>
      <c r="AI173">
        <f t="shared" si="16"/>
        <v>415.5</v>
      </c>
      <c r="AJ173">
        <f t="shared" si="17"/>
        <v>951.5</v>
      </c>
    </row>
    <row r="174" spans="1:36" hidden="1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 s="1">
        <f t="shared" si="12"/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  <c r="AF174">
        <f t="shared" si="13"/>
        <v>1765.6999999999998</v>
      </c>
      <c r="AG174">
        <f t="shared" si="14"/>
        <v>391.5</v>
      </c>
      <c r="AH174">
        <f t="shared" si="15"/>
        <v>279.39999999999998</v>
      </c>
      <c r="AI174">
        <f t="shared" si="16"/>
        <v>396.2</v>
      </c>
      <c r="AJ174">
        <f t="shared" si="17"/>
        <v>883.9</v>
      </c>
    </row>
    <row r="175" spans="1:36" hidden="1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 s="1">
        <f t="shared" si="12"/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  <c r="AF175">
        <f t="shared" si="13"/>
        <v>1779.6999999999998</v>
      </c>
      <c r="AG175">
        <f t="shared" si="14"/>
        <v>416.90000000000003</v>
      </c>
      <c r="AH175">
        <f t="shared" si="15"/>
        <v>280</v>
      </c>
      <c r="AI175">
        <f t="shared" si="16"/>
        <v>407.4</v>
      </c>
      <c r="AJ175">
        <f t="shared" si="17"/>
        <v>922.2</v>
      </c>
    </row>
    <row r="176" spans="1:36" hidden="1" x14ac:dyDescent="0.3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V176" s="1">
        <f t="shared" si="12"/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  <c r="AF176">
        <f t="shared" si="13"/>
        <v>1817.7000000000003</v>
      </c>
      <c r="AG176">
        <f t="shared" si="14"/>
        <v>437</v>
      </c>
      <c r="AH176">
        <f t="shared" si="15"/>
        <v>285.79999999999995</v>
      </c>
      <c r="AI176">
        <f t="shared" si="16"/>
        <v>421.2</v>
      </c>
      <c r="AJ176">
        <f t="shared" si="17"/>
        <v>957.8</v>
      </c>
    </row>
    <row r="177" spans="1:36" hidden="1" x14ac:dyDescent="0.3">
      <c r="A177" t="s">
        <v>32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 s="1">
        <f t="shared" si="12"/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  <c r="AF177">
        <f t="shared" si="13"/>
        <v>1796.7</v>
      </c>
      <c r="AG177">
        <f t="shared" si="14"/>
        <v>393.9</v>
      </c>
      <c r="AH177">
        <f t="shared" si="15"/>
        <v>281.29999999999995</v>
      </c>
      <c r="AI177">
        <f t="shared" si="16"/>
        <v>400.9</v>
      </c>
      <c r="AJ177">
        <f t="shared" si="17"/>
        <v>887.8</v>
      </c>
    </row>
    <row r="178" spans="1:36" hidden="1" x14ac:dyDescent="0.3">
      <c r="A178" t="s">
        <v>33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 s="1">
        <f t="shared" si="12"/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  <c r="AF178">
        <f t="shared" si="13"/>
        <v>1808.2</v>
      </c>
      <c r="AG178">
        <f t="shared" si="14"/>
        <v>419.6</v>
      </c>
      <c r="AH178">
        <f t="shared" si="15"/>
        <v>282.10000000000002</v>
      </c>
      <c r="AI178">
        <f t="shared" si="16"/>
        <v>412.5</v>
      </c>
      <c r="AJ178">
        <f t="shared" si="17"/>
        <v>927.49999999999989</v>
      </c>
    </row>
    <row r="179" spans="1:36" hidden="1" x14ac:dyDescent="0.3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V179" s="1">
        <f t="shared" si="12"/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  <c r="AF179">
        <f t="shared" si="13"/>
        <v>1813.6000000000001</v>
      </c>
      <c r="AG179">
        <f t="shared" si="14"/>
        <v>437.09999999999997</v>
      </c>
      <c r="AH179">
        <f t="shared" si="15"/>
        <v>286.60000000000002</v>
      </c>
      <c r="AI179">
        <f t="shared" si="16"/>
        <v>422.79999999999995</v>
      </c>
      <c r="AJ179">
        <f t="shared" si="17"/>
        <v>958.29999999999984</v>
      </c>
    </row>
    <row r="180" spans="1:36" hidden="1" x14ac:dyDescent="0.3">
      <c r="A180" t="s">
        <v>32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 s="1">
        <f t="shared" si="12"/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  <c r="AF180">
        <f t="shared" si="13"/>
        <v>1767.5</v>
      </c>
      <c r="AG180">
        <f t="shared" si="14"/>
        <v>395.2</v>
      </c>
      <c r="AH180">
        <f t="shared" si="15"/>
        <v>282.60000000000002</v>
      </c>
      <c r="AI180">
        <f t="shared" si="16"/>
        <v>402.59999999999997</v>
      </c>
      <c r="AJ180">
        <f t="shared" si="17"/>
        <v>889.5</v>
      </c>
    </row>
    <row r="181" spans="1:36" hidden="1" x14ac:dyDescent="0.3">
      <c r="A181" t="s">
        <v>33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 s="1">
        <f t="shared" si="12"/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  <c r="AF181">
        <f t="shared" si="13"/>
        <v>1794.9999999999998</v>
      </c>
      <c r="AG181">
        <f t="shared" si="14"/>
        <v>420.2</v>
      </c>
      <c r="AH181">
        <f t="shared" si="15"/>
        <v>283.2</v>
      </c>
      <c r="AI181">
        <f t="shared" si="16"/>
        <v>414.2</v>
      </c>
      <c r="AJ181">
        <f t="shared" si="17"/>
        <v>928.5</v>
      </c>
    </row>
    <row r="182" spans="1:36" hidden="1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V182" s="1">
        <f t="shared" si="12"/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  <c r="AF182">
        <f t="shared" si="13"/>
        <v>1800.7</v>
      </c>
      <c r="AG182">
        <f t="shared" si="14"/>
        <v>438.1</v>
      </c>
      <c r="AH182">
        <f t="shared" si="15"/>
        <v>287.89999999999998</v>
      </c>
      <c r="AI182">
        <f t="shared" si="16"/>
        <v>424.30000000000007</v>
      </c>
      <c r="AJ182">
        <f t="shared" si="17"/>
        <v>961.50000000000023</v>
      </c>
    </row>
    <row r="183" spans="1:36" hidden="1" x14ac:dyDescent="0.3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 s="1">
        <f t="shared" si="12"/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  <c r="AF183">
        <f t="shared" si="13"/>
        <v>1748.3000000000002</v>
      </c>
      <c r="AG183">
        <f t="shared" si="14"/>
        <v>396.29999999999995</v>
      </c>
      <c r="AH183">
        <f t="shared" si="15"/>
        <v>283.89999999999998</v>
      </c>
      <c r="AI183">
        <f t="shared" si="16"/>
        <v>404.79999999999995</v>
      </c>
      <c r="AJ183">
        <f t="shared" si="17"/>
        <v>893.39999999999986</v>
      </c>
    </row>
    <row r="184" spans="1:36" hidden="1" x14ac:dyDescent="0.3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 s="1">
        <f t="shared" si="12"/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  <c r="AF184">
        <f t="shared" si="13"/>
        <v>1779.9</v>
      </c>
      <c r="AG184">
        <f t="shared" si="14"/>
        <v>421.3</v>
      </c>
      <c r="AH184">
        <f t="shared" si="15"/>
        <v>284.39999999999998</v>
      </c>
      <c r="AI184">
        <f t="shared" si="16"/>
        <v>416</v>
      </c>
      <c r="AJ184">
        <f t="shared" si="17"/>
        <v>931.9</v>
      </c>
    </row>
    <row r="185" spans="1:36" hidden="1" x14ac:dyDescent="0.3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V185" s="1">
        <f t="shared" si="12"/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  <c r="AF185">
        <f t="shared" si="13"/>
        <v>1781.5</v>
      </c>
      <c r="AG185">
        <f t="shared" si="14"/>
        <v>438.90000000000003</v>
      </c>
      <c r="AH185">
        <f t="shared" si="15"/>
        <v>287.60000000000002</v>
      </c>
      <c r="AI185">
        <f t="shared" si="16"/>
        <v>425.20000000000005</v>
      </c>
      <c r="AJ185">
        <f t="shared" si="17"/>
        <v>963.40000000000009</v>
      </c>
    </row>
    <row r="186" spans="1:36" hidden="1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 s="1">
        <f t="shared" si="12"/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  <c r="AF186">
        <f t="shared" si="13"/>
        <v>1727.9</v>
      </c>
      <c r="AG186">
        <f t="shared" si="14"/>
        <v>397.09999999999997</v>
      </c>
      <c r="AH186">
        <f t="shared" si="15"/>
        <v>285.8</v>
      </c>
      <c r="AI186">
        <f t="shared" si="16"/>
        <v>405.8</v>
      </c>
      <c r="AJ186">
        <f t="shared" si="17"/>
        <v>897.1</v>
      </c>
    </row>
    <row r="187" spans="1:36" hidden="1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 s="1">
        <f t="shared" si="12"/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  <c r="AF187">
        <f t="shared" si="13"/>
        <v>1760.3999999999996</v>
      </c>
      <c r="AG187">
        <f t="shared" si="14"/>
        <v>422</v>
      </c>
      <c r="AH187">
        <f t="shared" si="15"/>
        <v>284.8</v>
      </c>
      <c r="AI187">
        <f t="shared" si="16"/>
        <v>417</v>
      </c>
      <c r="AJ187">
        <f t="shared" si="17"/>
        <v>934.70000000000016</v>
      </c>
    </row>
    <row r="188" spans="1:36" hidden="1" x14ac:dyDescent="0.3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V188" s="1">
        <f t="shared" si="12"/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  <c r="AF188">
        <f t="shared" si="13"/>
        <v>1781.9999999999998</v>
      </c>
      <c r="AG188">
        <f t="shared" si="14"/>
        <v>440.5</v>
      </c>
      <c r="AH188">
        <f t="shared" si="15"/>
        <v>290.2</v>
      </c>
      <c r="AI188">
        <f t="shared" si="16"/>
        <v>427.3</v>
      </c>
      <c r="AJ188">
        <f t="shared" si="17"/>
        <v>967.59999999999991</v>
      </c>
    </row>
    <row r="189" spans="1:36" hidden="1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 s="1">
        <f t="shared" si="12"/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  <c r="AF189">
        <f t="shared" si="13"/>
        <v>1715.5</v>
      </c>
      <c r="AG189">
        <f t="shared" si="14"/>
        <v>398.59999999999997</v>
      </c>
      <c r="AH189">
        <f t="shared" si="15"/>
        <v>286.5</v>
      </c>
      <c r="AI189">
        <f t="shared" si="16"/>
        <v>406.2</v>
      </c>
      <c r="AJ189">
        <f t="shared" si="17"/>
        <v>901</v>
      </c>
    </row>
    <row r="190" spans="1:36" hidden="1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 s="1">
        <f t="shared" si="12"/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  <c r="AF190">
        <f t="shared" si="13"/>
        <v>1756</v>
      </c>
      <c r="AG190">
        <f t="shared" si="14"/>
        <v>423.6</v>
      </c>
      <c r="AH190">
        <f t="shared" si="15"/>
        <v>286.70000000000005</v>
      </c>
      <c r="AI190">
        <f t="shared" si="16"/>
        <v>418.3</v>
      </c>
      <c r="AJ190">
        <f t="shared" si="17"/>
        <v>938.7</v>
      </c>
    </row>
    <row r="191" spans="1:36" hidden="1" x14ac:dyDescent="0.3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V191" s="1">
        <f t="shared" si="12"/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  <c r="AF191">
        <f t="shared" si="13"/>
        <v>1780</v>
      </c>
      <c r="AG191">
        <f t="shared" si="14"/>
        <v>442.5</v>
      </c>
      <c r="AH191">
        <f t="shared" si="15"/>
        <v>292.10000000000002</v>
      </c>
      <c r="AI191">
        <f t="shared" si="16"/>
        <v>430.40000000000003</v>
      </c>
      <c r="AJ191">
        <f t="shared" si="17"/>
        <v>973.3</v>
      </c>
    </row>
    <row r="192" spans="1:36" hidden="1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 s="1">
        <f t="shared" si="12"/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  <c r="AF192">
        <f t="shared" si="13"/>
        <v>1720.0000000000002</v>
      </c>
      <c r="AG192">
        <f t="shared" si="14"/>
        <v>401.40000000000003</v>
      </c>
      <c r="AH192">
        <f t="shared" si="15"/>
        <v>286.79999999999995</v>
      </c>
      <c r="AI192">
        <f t="shared" si="16"/>
        <v>407.2</v>
      </c>
      <c r="AJ192">
        <f t="shared" si="17"/>
        <v>907.90000000000009</v>
      </c>
    </row>
    <row r="193" spans="1:36" hidden="1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 s="1">
        <f t="shared" si="12"/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  <c r="AF193">
        <f t="shared" si="13"/>
        <v>1757.1000000000001</v>
      </c>
      <c r="AG193">
        <f t="shared" si="14"/>
        <v>426</v>
      </c>
      <c r="AH193">
        <f t="shared" si="15"/>
        <v>288.20000000000005</v>
      </c>
      <c r="AI193">
        <f t="shared" si="16"/>
        <v>420.79999999999995</v>
      </c>
      <c r="AJ193">
        <f t="shared" si="17"/>
        <v>945</v>
      </c>
    </row>
    <row r="194" spans="1:36" hidden="1" x14ac:dyDescent="0.3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V194" s="1">
        <f t="shared" ref="V194:V257" si="18">IF(ISBLANK(U194), U195, U194)</f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  <c r="AF194">
        <f t="shared" ref="AF194:AF257" si="19">SUM(D194:P194)</f>
        <v>1782.4</v>
      </c>
      <c r="AG194">
        <f t="shared" ref="AG194:AG257" si="20">SUM(R194:T194)</f>
        <v>444.7</v>
      </c>
      <c r="AH194">
        <f t="shared" ref="AH194:AH257" si="21">SUM(Q194,AA194)</f>
        <v>293.8</v>
      </c>
      <c r="AI194">
        <f t="shared" ref="AI194:AI257" si="22">SUM(V194,W194,AB194)</f>
        <v>431.9</v>
      </c>
      <c r="AJ194">
        <f t="shared" ref="AJ194:AJ257" si="23">SUM(R194,S194,T194,X194,Z194,AC194,AD194)</f>
        <v>979.19999999999993</v>
      </c>
    </row>
    <row r="195" spans="1:36" hidden="1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 s="1">
        <f t="shared" si="18"/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  <c r="AF195">
        <f t="shared" si="19"/>
        <v>1722.8999999999999</v>
      </c>
      <c r="AG195">
        <f t="shared" si="20"/>
        <v>403.5</v>
      </c>
      <c r="AH195">
        <f t="shared" si="21"/>
        <v>288.3</v>
      </c>
      <c r="AI195">
        <f t="shared" si="22"/>
        <v>408.29999999999995</v>
      </c>
      <c r="AJ195">
        <f t="shared" si="23"/>
        <v>912.8</v>
      </c>
    </row>
    <row r="196" spans="1:36" hidden="1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 s="1">
        <f t="shared" si="18"/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  <c r="AF196">
        <f t="shared" si="19"/>
        <v>1759.8</v>
      </c>
      <c r="AG196">
        <f t="shared" si="20"/>
        <v>428.09999999999997</v>
      </c>
      <c r="AH196">
        <f t="shared" si="21"/>
        <v>289.70000000000005</v>
      </c>
      <c r="AI196">
        <f t="shared" si="22"/>
        <v>422.20000000000005</v>
      </c>
      <c r="AJ196">
        <f t="shared" si="23"/>
        <v>950.4</v>
      </c>
    </row>
    <row r="197" spans="1:36" hidden="1" x14ac:dyDescent="0.3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V197" s="1">
        <f t="shared" si="18"/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  <c r="AF197">
        <f t="shared" si="19"/>
        <v>1790.2999999999997</v>
      </c>
      <c r="AG197">
        <f t="shared" si="20"/>
        <v>446.3</v>
      </c>
      <c r="AH197">
        <f t="shared" si="21"/>
        <v>295.10000000000002</v>
      </c>
      <c r="AI197">
        <f t="shared" si="22"/>
        <v>432.70000000000005</v>
      </c>
      <c r="AJ197">
        <f t="shared" si="23"/>
        <v>982.9</v>
      </c>
    </row>
    <row r="198" spans="1:36" hidden="1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 s="1">
        <f t="shared" si="18"/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  <c r="AF198">
        <f t="shared" si="19"/>
        <v>1747.3000000000002</v>
      </c>
      <c r="AG198">
        <f t="shared" si="20"/>
        <v>405</v>
      </c>
      <c r="AH198">
        <f t="shared" si="21"/>
        <v>289.5</v>
      </c>
      <c r="AI198">
        <f t="shared" si="22"/>
        <v>410.2</v>
      </c>
      <c r="AJ198">
        <f t="shared" si="23"/>
        <v>916.2</v>
      </c>
    </row>
    <row r="199" spans="1:36" hidden="1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 s="1">
        <f t="shared" si="18"/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  <c r="AF199">
        <f t="shared" si="19"/>
        <v>1774.1000000000001</v>
      </c>
      <c r="AG199">
        <f t="shared" si="20"/>
        <v>429.7</v>
      </c>
      <c r="AH199">
        <f t="shared" si="21"/>
        <v>290.89999999999998</v>
      </c>
      <c r="AI199">
        <f t="shared" si="22"/>
        <v>423.40000000000003</v>
      </c>
      <c r="AJ199">
        <f t="shared" si="23"/>
        <v>954.00000000000011</v>
      </c>
    </row>
    <row r="200" spans="1:36" hidden="1" x14ac:dyDescent="0.3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V200" s="1">
        <f t="shared" si="18"/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  <c r="AF200">
        <f t="shared" si="19"/>
        <v>1810.5000000000002</v>
      </c>
      <c r="AG200">
        <f t="shared" si="20"/>
        <v>447.20000000000005</v>
      </c>
      <c r="AH200">
        <f t="shared" si="21"/>
        <v>294.5</v>
      </c>
      <c r="AI200">
        <f t="shared" si="22"/>
        <v>436.2</v>
      </c>
      <c r="AJ200">
        <f t="shared" si="23"/>
        <v>985.2</v>
      </c>
    </row>
    <row r="201" spans="1:36" hidden="1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 s="1">
        <f t="shared" si="18"/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  <c r="AF201">
        <f t="shared" si="19"/>
        <v>1771.1</v>
      </c>
      <c r="AG201">
        <f t="shared" si="20"/>
        <v>406.4</v>
      </c>
      <c r="AH201">
        <f t="shared" si="21"/>
        <v>290.39999999999998</v>
      </c>
      <c r="AI201">
        <f t="shared" si="22"/>
        <v>415.7</v>
      </c>
      <c r="AJ201">
        <f t="shared" si="23"/>
        <v>918.5</v>
      </c>
    </row>
    <row r="202" spans="1:36" hidden="1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 s="1">
        <f t="shared" si="18"/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  <c r="AF202">
        <f t="shared" si="19"/>
        <v>1795.3</v>
      </c>
      <c r="AG202">
        <f t="shared" si="20"/>
        <v>430.80000000000007</v>
      </c>
      <c r="AH202">
        <f t="shared" si="21"/>
        <v>290.60000000000002</v>
      </c>
      <c r="AI202">
        <f t="shared" si="22"/>
        <v>427.99999999999994</v>
      </c>
      <c r="AJ202">
        <f t="shared" si="23"/>
        <v>956.30000000000018</v>
      </c>
    </row>
    <row r="203" spans="1:36" hidden="1" x14ac:dyDescent="0.3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V203" s="1">
        <f t="shared" si="18"/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  <c r="AF203">
        <f t="shared" si="19"/>
        <v>1818.8</v>
      </c>
      <c r="AG203">
        <f t="shared" si="20"/>
        <v>449.2</v>
      </c>
      <c r="AH203">
        <f t="shared" si="21"/>
        <v>295</v>
      </c>
      <c r="AI203">
        <f t="shared" si="22"/>
        <v>439.19999999999993</v>
      </c>
      <c r="AJ203">
        <f t="shared" si="23"/>
        <v>989.19999999999993</v>
      </c>
    </row>
    <row r="204" spans="1:36" hidden="1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 s="1">
        <f t="shared" si="18"/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  <c r="AF204">
        <f t="shared" si="19"/>
        <v>1767.6</v>
      </c>
      <c r="AG204">
        <f t="shared" si="20"/>
        <v>407.3</v>
      </c>
      <c r="AH204">
        <f t="shared" si="21"/>
        <v>291.89999999999998</v>
      </c>
      <c r="AI204">
        <f t="shared" si="22"/>
        <v>419.7</v>
      </c>
      <c r="AJ204">
        <f t="shared" si="23"/>
        <v>921.7</v>
      </c>
    </row>
    <row r="205" spans="1:36" hidden="1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 s="1">
        <f t="shared" si="18"/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  <c r="AF205">
        <f t="shared" si="19"/>
        <v>1798.7000000000003</v>
      </c>
      <c r="AG205">
        <f t="shared" si="20"/>
        <v>432.20000000000005</v>
      </c>
      <c r="AH205">
        <f t="shared" si="21"/>
        <v>291.5</v>
      </c>
      <c r="AI205">
        <f t="shared" si="22"/>
        <v>431.5</v>
      </c>
      <c r="AJ205">
        <f t="shared" si="23"/>
        <v>959.9</v>
      </c>
    </row>
    <row r="206" spans="1:36" hidden="1" x14ac:dyDescent="0.3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V206" s="1">
        <f t="shared" si="18"/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  <c r="AF206">
        <f t="shared" si="19"/>
        <v>1799.8000000000002</v>
      </c>
      <c r="AG206">
        <f t="shared" si="20"/>
        <v>449.5</v>
      </c>
      <c r="AH206">
        <f t="shared" si="21"/>
        <v>297.7</v>
      </c>
      <c r="AI206">
        <f t="shared" si="22"/>
        <v>441.9</v>
      </c>
      <c r="AJ206">
        <f t="shared" si="23"/>
        <v>992.8</v>
      </c>
    </row>
    <row r="207" spans="1:36" hidden="1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 s="1">
        <f t="shared" si="18"/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  <c r="AF207">
        <f t="shared" si="19"/>
        <v>1748.4</v>
      </c>
      <c r="AG207">
        <f t="shared" si="20"/>
        <v>409.20000000000005</v>
      </c>
      <c r="AH207">
        <f t="shared" si="21"/>
        <v>293.5</v>
      </c>
      <c r="AI207">
        <f t="shared" si="22"/>
        <v>421.7</v>
      </c>
      <c r="AJ207">
        <f t="shared" si="23"/>
        <v>927.80000000000007</v>
      </c>
    </row>
    <row r="208" spans="1:36" hidden="1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 s="1">
        <f t="shared" si="18"/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  <c r="AF208">
        <f t="shared" si="19"/>
        <v>1779.5</v>
      </c>
      <c r="AG208">
        <f t="shared" si="20"/>
        <v>433.29999999999995</v>
      </c>
      <c r="AH208">
        <f t="shared" si="21"/>
        <v>293.7</v>
      </c>
      <c r="AI208">
        <f t="shared" si="22"/>
        <v>433.8</v>
      </c>
      <c r="AJ208">
        <f t="shared" si="23"/>
        <v>964.59999999999991</v>
      </c>
    </row>
    <row r="209" spans="1:36" hidden="1" x14ac:dyDescent="0.3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V209" s="1">
        <f t="shared" si="18"/>
        <v>146.30000000000001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  <c r="AF209">
        <f t="shared" si="19"/>
        <v>1782.2</v>
      </c>
      <c r="AG209">
        <f t="shared" si="20"/>
        <v>445</v>
      </c>
      <c r="AH209">
        <f t="shared" si="21"/>
        <v>299.7</v>
      </c>
      <c r="AI209">
        <f t="shared" si="22"/>
        <v>444</v>
      </c>
      <c r="AJ209">
        <f t="shared" si="23"/>
        <v>997.5</v>
      </c>
    </row>
    <row r="210" spans="1:36" hidden="1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 s="1">
        <f t="shared" si="18"/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  <c r="AF210">
        <f t="shared" si="19"/>
        <v>1754.1</v>
      </c>
      <c r="AG210">
        <f t="shared" si="20"/>
        <v>411</v>
      </c>
      <c r="AH210">
        <f t="shared" si="21"/>
        <v>294.7</v>
      </c>
      <c r="AI210">
        <f t="shared" si="22"/>
        <v>425.20000000000005</v>
      </c>
      <c r="AJ210">
        <f t="shared" si="23"/>
        <v>932.3</v>
      </c>
    </row>
    <row r="211" spans="1:36" hidden="1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 s="1">
        <f t="shared" si="18"/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  <c r="AF211">
        <f t="shared" si="19"/>
        <v>1776.2</v>
      </c>
      <c r="AG211">
        <f t="shared" si="20"/>
        <v>434</v>
      </c>
      <c r="AH211">
        <f t="shared" si="21"/>
        <v>299.10000000000002</v>
      </c>
      <c r="AI211">
        <f t="shared" si="22"/>
        <v>440.00000000000006</v>
      </c>
      <c r="AJ211">
        <f t="shared" si="23"/>
        <v>970</v>
      </c>
    </row>
    <row r="212" spans="1:36" hidden="1" x14ac:dyDescent="0.3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V212" s="1">
        <f t="shared" si="18"/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  <c r="AF212">
        <f t="shared" si="19"/>
        <v>1787.4999999999995</v>
      </c>
      <c r="AG212">
        <f t="shared" si="20"/>
        <v>448</v>
      </c>
      <c r="AH212">
        <f t="shared" si="21"/>
        <v>305</v>
      </c>
      <c r="AI212">
        <f t="shared" si="22"/>
        <v>447.40000000000003</v>
      </c>
      <c r="AJ212">
        <f t="shared" si="23"/>
        <v>999.5</v>
      </c>
    </row>
    <row r="213" spans="1:36" hidden="1" x14ac:dyDescent="0.3">
      <c r="A213" t="s">
        <v>32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 s="1">
        <f t="shared" si="18"/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  <c r="AF213">
        <f t="shared" si="19"/>
        <v>1757.4999999999998</v>
      </c>
      <c r="AG213">
        <f t="shared" si="20"/>
        <v>413.1</v>
      </c>
      <c r="AH213">
        <f t="shared" si="21"/>
        <v>295.70000000000005</v>
      </c>
      <c r="AI213">
        <f t="shared" si="22"/>
        <v>429.70000000000005</v>
      </c>
      <c r="AJ213">
        <f t="shared" si="23"/>
        <v>932.80000000000018</v>
      </c>
    </row>
    <row r="214" spans="1:36" hidden="1" x14ac:dyDescent="0.3">
      <c r="A214" t="s">
        <v>33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 s="1">
        <f t="shared" si="18"/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  <c r="AF214">
        <f t="shared" si="19"/>
        <v>1775.7000000000003</v>
      </c>
      <c r="AG214">
        <f t="shared" si="20"/>
        <v>433.8</v>
      </c>
      <c r="AH214">
        <f t="shared" si="21"/>
        <v>299.10000000000002</v>
      </c>
      <c r="AI214">
        <f t="shared" si="22"/>
        <v>439.8</v>
      </c>
      <c r="AJ214">
        <f t="shared" si="23"/>
        <v>969.8</v>
      </c>
    </row>
    <row r="215" spans="1:36" hidden="1" x14ac:dyDescent="0.3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V215" s="1">
        <f t="shared" si="18"/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  <c r="AF215">
        <f t="shared" si="19"/>
        <v>1773.1000000000001</v>
      </c>
      <c r="AG215">
        <f t="shared" si="20"/>
        <v>448.3</v>
      </c>
      <c r="AH215">
        <f t="shared" si="21"/>
        <v>305.70000000000005</v>
      </c>
      <c r="AI215">
        <f t="shared" si="22"/>
        <v>450.6</v>
      </c>
      <c r="AJ215">
        <f t="shared" si="23"/>
        <v>1001.4999999999999</v>
      </c>
    </row>
    <row r="216" spans="1:36" hidden="1" x14ac:dyDescent="0.3">
      <c r="A216" t="s">
        <v>32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 s="1">
        <f t="shared" si="18"/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  <c r="AF216">
        <f t="shared" si="19"/>
        <v>1746.6</v>
      </c>
      <c r="AG216">
        <f t="shared" si="20"/>
        <v>413.8</v>
      </c>
      <c r="AH216">
        <f t="shared" si="21"/>
        <v>296.29999999999995</v>
      </c>
      <c r="AI216">
        <f t="shared" si="22"/>
        <v>425.4</v>
      </c>
      <c r="AJ216">
        <f t="shared" si="23"/>
        <v>931.3</v>
      </c>
    </row>
    <row r="217" spans="1:36" hidden="1" x14ac:dyDescent="0.3">
      <c r="A217" t="s">
        <v>33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 s="1">
        <f t="shared" si="18"/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  <c r="AF217">
        <f t="shared" si="19"/>
        <v>1762.7999999999997</v>
      </c>
      <c r="AG217">
        <f t="shared" si="20"/>
        <v>434.3</v>
      </c>
      <c r="AH217">
        <f t="shared" si="21"/>
        <v>299.8</v>
      </c>
      <c r="AI217">
        <f t="shared" si="22"/>
        <v>439.29999999999995</v>
      </c>
      <c r="AJ217">
        <f t="shared" si="23"/>
        <v>970.09999999999991</v>
      </c>
    </row>
    <row r="218" spans="1:36" hidden="1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V218" s="1">
        <f t="shared" si="18"/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  <c r="AF218">
        <f t="shared" si="19"/>
        <v>1759.6000000000001</v>
      </c>
      <c r="AG218">
        <f t="shared" si="20"/>
        <v>445.6</v>
      </c>
      <c r="AH218">
        <f t="shared" si="21"/>
        <v>305.60000000000002</v>
      </c>
      <c r="AI218">
        <f t="shared" si="22"/>
        <v>449.09999999999997</v>
      </c>
      <c r="AJ218">
        <f t="shared" si="23"/>
        <v>999.5</v>
      </c>
    </row>
    <row r="219" spans="1:36" hidden="1" x14ac:dyDescent="0.3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 s="1">
        <f t="shared" si="18"/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  <c r="AF219">
        <f t="shared" si="19"/>
        <v>1744.3000000000002</v>
      </c>
      <c r="AG219">
        <f t="shared" si="20"/>
        <v>414.5</v>
      </c>
      <c r="AH219">
        <f t="shared" si="21"/>
        <v>296.60000000000002</v>
      </c>
      <c r="AI219">
        <f t="shared" si="22"/>
        <v>422.9</v>
      </c>
      <c r="AJ219">
        <f t="shared" si="23"/>
        <v>932.89999999999986</v>
      </c>
    </row>
    <row r="220" spans="1:36" hidden="1" x14ac:dyDescent="0.3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 s="1">
        <f t="shared" si="18"/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  <c r="AF220">
        <f t="shared" si="19"/>
        <v>1753.3999999999999</v>
      </c>
      <c r="AG220">
        <f t="shared" si="20"/>
        <v>433</v>
      </c>
      <c r="AH220">
        <f t="shared" si="21"/>
        <v>299.89999999999998</v>
      </c>
      <c r="AI220">
        <f t="shared" si="22"/>
        <v>437.4</v>
      </c>
      <c r="AJ220">
        <f t="shared" si="23"/>
        <v>969.6</v>
      </c>
    </row>
    <row r="221" spans="1:36" hidden="1" x14ac:dyDescent="0.3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V221" s="1">
        <f t="shared" si="18"/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  <c r="AF221">
        <f t="shared" si="19"/>
        <v>1759.8000000000002</v>
      </c>
      <c r="AG221">
        <f t="shared" si="20"/>
        <v>446.5</v>
      </c>
      <c r="AH221">
        <f t="shared" si="21"/>
        <v>306.20000000000005</v>
      </c>
      <c r="AI221">
        <f t="shared" si="22"/>
        <v>449.3</v>
      </c>
      <c r="AJ221">
        <f t="shared" si="23"/>
        <v>1002.8999999999999</v>
      </c>
    </row>
    <row r="222" spans="1:36" hidden="1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 s="1">
        <f t="shared" si="18"/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  <c r="AF222">
        <f t="shared" si="19"/>
        <v>1754.4</v>
      </c>
      <c r="AG222">
        <f t="shared" si="20"/>
        <v>415.5</v>
      </c>
      <c r="AH222">
        <f t="shared" si="21"/>
        <v>297.10000000000002</v>
      </c>
      <c r="AI222">
        <f t="shared" si="22"/>
        <v>422.20000000000005</v>
      </c>
      <c r="AJ222">
        <f t="shared" si="23"/>
        <v>936.7</v>
      </c>
    </row>
    <row r="223" spans="1:36" hidden="1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 s="1">
        <f t="shared" si="18"/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  <c r="AF223">
        <f t="shared" si="19"/>
        <v>1757.1</v>
      </c>
      <c r="AG223">
        <f t="shared" si="20"/>
        <v>433.9</v>
      </c>
      <c r="AH223">
        <f t="shared" si="21"/>
        <v>300.5</v>
      </c>
      <c r="AI223">
        <f t="shared" si="22"/>
        <v>437.2</v>
      </c>
      <c r="AJ223">
        <f t="shared" si="23"/>
        <v>972.99999999999989</v>
      </c>
    </row>
    <row r="224" spans="1:36" hidden="1" x14ac:dyDescent="0.3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V224" s="1">
        <f t="shared" si="18"/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  <c r="AF224">
        <f t="shared" si="19"/>
        <v>1761.2000000000003</v>
      </c>
      <c r="AG224">
        <f t="shared" si="20"/>
        <v>447</v>
      </c>
      <c r="AH224">
        <f t="shared" si="21"/>
        <v>306.70000000000005</v>
      </c>
      <c r="AI224">
        <f t="shared" si="22"/>
        <v>450.9</v>
      </c>
      <c r="AJ224">
        <f t="shared" si="23"/>
        <v>1003.3</v>
      </c>
    </row>
    <row r="225" spans="1:36" hidden="1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 s="1">
        <f t="shared" si="18"/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  <c r="AF225">
        <f t="shared" si="19"/>
        <v>1768.4</v>
      </c>
      <c r="AG225">
        <f t="shared" si="20"/>
        <v>416.29999999999995</v>
      </c>
      <c r="AH225">
        <f t="shared" si="21"/>
        <v>298.3</v>
      </c>
      <c r="AI225">
        <f t="shared" si="22"/>
        <v>424.5</v>
      </c>
      <c r="AJ225">
        <f t="shared" si="23"/>
        <v>938.3</v>
      </c>
    </row>
    <row r="226" spans="1:36" hidden="1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 s="1">
        <f t="shared" si="18"/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  <c r="AF226">
        <f t="shared" si="19"/>
        <v>1762.9</v>
      </c>
      <c r="AG226">
        <f t="shared" si="20"/>
        <v>434.5</v>
      </c>
      <c r="AH226">
        <f t="shared" si="21"/>
        <v>301.2</v>
      </c>
      <c r="AI226">
        <f t="shared" si="22"/>
        <v>439</v>
      </c>
      <c r="AJ226">
        <f t="shared" si="23"/>
        <v>974</v>
      </c>
    </row>
    <row r="227" spans="1:36" hidden="1" x14ac:dyDescent="0.3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V227" s="1">
        <f t="shared" si="18"/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  <c r="AF227">
        <f t="shared" si="19"/>
        <v>1782.1000000000001</v>
      </c>
      <c r="AG227">
        <f t="shared" si="20"/>
        <v>448.59999999999997</v>
      </c>
      <c r="AH227">
        <f t="shared" si="21"/>
        <v>309.20000000000005</v>
      </c>
      <c r="AI227">
        <f t="shared" si="22"/>
        <v>453.7</v>
      </c>
      <c r="AJ227">
        <f t="shared" si="23"/>
        <v>1005.0999999999999</v>
      </c>
    </row>
    <row r="228" spans="1:36" hidden="1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 s="1">
        <f t="shared" si="18"/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  <c r="AF228">
        <f t="shared" si="19"/>
        <v>1811.5000000000002</v>
      </c>
      <c r="AG228">
        <f t="shared" si="20"/>
        <v>417.9</v>
      </c>
      <c r="AH228">
        <f t="shared" si="21"/>
        <v>300.2</v>
      </c>
      <c r="AI228">
        <f t="shared" si="22"/>
        <v>427.5</v>
      </c>
      <c r="AJ228">
        <f t="shared" si="23"/>
        <v>941.09999999999991</v>
      </c>
    </row>
    <row r="229" spans="1:36" hidden="1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 s="1">
        <f t="shared" si="18"/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  <c r="AF229">
        <f t="shared" si="19"/>
        <v>1791.9000000000003</v>
      </c>
      <c r="AG229">
        <f t="shared" si="20"/>
        <v>436.1</v>
      </c>
      <c r="AH229">
        <f t="shared" si="21"/>
        <v>303.29999999999995</v>
      </c>
      <c r="AI229">
        <f t="shared" si="22"/>
        <v>442</v>
      </c>
      <c r="AJ229">
        <f t="shared" si="23"/>
        <v>976.3</v>
      </c>
    </row>
    <row r="230" spans="1:36" hidden="1" x14ac:dyDescent="0.3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V230" s="1">
        <f t="shared" si="18"/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  <c r="AF230">
        <f t="shared" si="19"/>
        <v>1804.1999999999998</v>
      </c>
      <c r="AG230">
        <f t="shared" si="20"/>
        <v>448.59999999999997</v>
      </c>
      <c r="AH230">
        <f t="shared" si="21"/>
        <v>310.60000000000002</v>
      </c>
      <c r="AI230">
        <f t="shared" si="22"/>
        <v>454.90000000000003</v>
      </c>
      <c r="AJ230">
        <f t="shared" si="23"/>
        <v>1006.4999999999998</v>
      </c>
    </row>
    <row r="231" spans="1:36" hidden="1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 s="1">
        <f t="shared" si="18"/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  <c r="AF231">
        <f t="shared" si="19"/>
        <v>1833.2999999999997</v>
      </c>
      <c r="AG231">
        <f t="shared" si="20"/>
        <v>418.4</v>
      </c>
      <c r="AH231">
        <f t="shared" si="21"/>
        <v>301</v>
      </c>
      <c r="AI231">
        <f t="shared" si="22"/>
        <v>428.79999999999995</v>
      </c>
      <c r="AJ231">
        <f t="shared" si="23"/>
        <v>942.69999999999993</v>
      </c>
    </row>
    <row r="232" spans="1:36" hidden="1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 s="1">
        <f t="shared" si="18"/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  <c r="AF232">
        <f t="shared" si="19"/>
        <v>1814.1000000000001</v>
      </c>
      <c r="AG232">
        <f t="shared" si="20"/>
        <v>436.4</v>
      </c>
      <c r="AH232">
        <f t="shared" si="21"/>
        <v>304.5</v>
      </c>
      <c r="AI232">
        <f t="shared" si="22"/>
        <v>443.1</v>
      </c>
      <c r="AJ232">
        <f t="shared" si="23"/>
        <v>977.70000000000016</v>
      </c>
    </row>
    <row r="233" spans="1:36" hidden="1" x14ac:dyDescent="0.3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V233" s="1">
        <f t="shared" si="18"/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  <c r="AF233">
        <f t="shared" si="19"/>
        <v>1826.8999999999999</v>
      </c>
      <c r="AG233">
        <f t="shared" si="20"/>
        <v>449.1</v>
      </c>
      <c r="AH233">
        <f t="shared" si="21"/>
        <v>312</v>
      </c>
      <c r="AI233">
        <f t="shared" si="22"/>
        <v>456.5</v>
      </c>
      <c r="AJ233">
        <f t="shared" si="23"/>
        <v>1010.5999999999999</v>
      </c>
    </row>
    <row r="234" spans="1:36" hidden="1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 s="1">
        <f t="shared" si="18"/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  <c r="AF234">
        <f t="shared" si="19"/>
        <v>1857.3999999999999</v>
      </c>
      <c r="AG234">
        <f t="shared" si="20"/>
        <v>419.3</v>
      </c>
      <c r="AH234">
        <f t="shared" si="21"/>
        <v>302.2</v>
      </c>
      <c r="AI234">
        <f t="shared" si="22"/>
        <v>428</v>
      </c>
      <c r="AJ234">
        <f t="shared" si="23"/>
        <v>947.2</v>
      </c>
    </row>
    <row r="235" spans="1:36" hidden="1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 s="1">
        <f t="shared" si="18"/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  <c r="AF235">
        <f t="shared" si="19"/>
        <v>1837.5</v>
      </c>
      <c r="AG235">
        <f t="shared" si="20"/>
        <v>437</v>
      </c>
      <c r="AH235">
        <f t="shared" si="21"/>
        <v>305.7</v>
      </c>
      <c r="AI235">
        <f t="shared" si="22"/>
        <v>443.9</v>
      </c>
      <c r="AJ235">
        <f t="shared" si="23"/>
        <v>982</v>
      </c>
    </row>
    <row r="236" spans="1:36" hidden="1" x14ac:dyDescent="0.3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V236" s="1">
        <f t="shared" si="18"/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  <c r="AF236">
        <f t="shared" si="19"/>
        <v>1834.5000000000002</v>
      </c>
      <c r="AG236">
        <f t="shared" si="20"/>
        <v>449.5</v>
      </c>
      <c r="AH236">
        <f t="shared" si="21"/>
        <v>313.10000000000002</v>
      </c>
      <c r="AI236">
        <f t="shared" si="22"/>
        <v>457.7</v>
      </c>
      <c r="AJ236">
        <f t="shared" si="23"/>
        <v>1014.8000000000001</v>
      </c>
    </row>
    <row r="237" spans="1:36" hidden="1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 s="1">
        <f t="shared" si="18"/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  <c r="AF237">
        <f t="shared" si="19"/>
        <v>1869.1</v>
      </c>
      <c r="AG237">
        <f t="shared" si="20"/>
        <v>420.2</v>
      </c>
      <c r="AH237">
        <f t="shared" si="21"/>
        <v>303.3</v>
      </c>
      <c r="AI237">
        <f t="shared" si="22"/>
        <v>428.6</v>
      </c>
      <c r="AJ237">
        <f t="shared" si="23"/>
        <v>952.19999999999982</v>
      </c>
    </row>
    <row r="238" spans="1:36" hidden="1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 s="1">
        <f t="shared" si="18"/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  <c r="AF238">
        <f t="shared" si="19"/>
        <v>1846.5</v>
      </c>
      <c r="AG238">
        <f t="shared" si="20"/>
        <v>437.6</v>
      </c>
      <c r="AH238">
        <f t="shared" si="21"/>
        <v>306.70000000000005</v>
      </c>
      <c r="AI238">
        <f t="shared" si="22"/>
        <v>445</v>
      </c>
      <c r="AJ238">
        <f t="shared" si="23"/>
        <v>986.5</v>
      </c>
    </row>
    <row r="239" spans="1:36" hidden="1" x14ac:dyDescent="0.3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V239" s="1">
        <f t="shared" si="18"/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  <c r="AF239">
        <f t="shared" si="19"/>
        <v>1848.7</v>
      </c>
      <c r="AG239">
        <f t="shared" si="20"/>
        <v>449.29999999999995</v>
      </c>
      <c r="AH239">
        <f t="shared" si="21"/>
        <v>314</v>
      </c>
      <c r="AI239">
        <f t="shared" si="22"/>
        <v>459.3</v>
      </c>
      <c r="AJ239">
        <f t="shared" si="23"/>
        <v>1016.7999999999998</v>
      </c>
    </row>
    <row r="240" spans="1:36" hidden="1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 s="1">
        <f t="shared" si="18"/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  <c r="AF240">
        <f t="shared" si="19"/>
        <v>1874.9</v>
      </c>
      <c r="AG240">
        <f t="shared" si="20"/>
        <v>420.8</v>
      </c>
      <c r="AH240">
        <f t="shared" si="21"/>
        <v>304.5</v>
      </c>
      <c r="AI240">
        <f t="shared" si="22"/>
        <v>430.4</v>
      </c>
      <c r="AJ240">
        <f t="shared" si="23"/>
        <v>955</v>
      </c>
    </row>
    <row r="241" spans="1:36" hidden="1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 s="1">
        <f t="shared" si="18"/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  <c r="AF241">
        <f t="shared" si="19"/>
        <v>1857.6999999999998</v>
      </c>
      <c r="AG241">
        <f t="shared" si="20"/>
        <v>437.69999999999993</v>
      </c>
      <c r="AH241">
        <f t="shared" si="21"/>
        <v>307.8</v>
      </c>
      <c r="AI241">
        <f t="shared" si="22"/>
        <v>446.59999999999997</v>
      </c>
      <c r="AJ241">
        <f t="shared" si="23"/>
        <v>988.8</v>
      </c>
    </row>
    <row r="242" spans="1:36" hidden="1" x14ac:dyDescent="0.3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V242" s="1">
        <f t="shared" si="18"/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  <c r="AF242">
        <f t="shared" si="19"/>
        <v>1876.8999999999996</v>
      </c>
      <c r="AG242">
        <f t="shared" si="20"/>
        <v>449.4</v>
      </c>
      <c r="AH242">
        <f t="shared" si="21"/>
        <v>315</v>
      </c>
      <c r="AI242">
        <f t="shared" si="22"/>
        <v>461.4</v>
      </c>
      <c r="AJ242">
        <f t="shared" si="23"/>
        <v>1017.7</v>
      </c>
    </row>
    <row r="243" spans="1:36" hidden="1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 s="1">
        <f t="shared" si="18"/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  <c r="AF243">
        <f t="shared" si="19"/>
        <v>1902.6000000000001</v>
      </c>
      <c r="AG243">
        <f t="shared" si="20"/>
        <v>422.20000000000005</v>
      </c>
      <c r="AH243">
        <f t="shared" si="21"/>
        <v>305.5</v>
      </c>
      <c r="AI243">
        <f t="shared" si="22"/>
        <v>433.59999999999997</v>
      </c>
      <c r="AJ243">
        <f t="shared" si="23"/>
        <v>957.90000000000009</v>
      </c>
    </row>
    <row r="244" spans="1:36" hidden="1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 s="1">
        <f t="shared" si="18"/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  <c r="AF244">
        <f t="shared" si="19"/>
        <v>1885.5999999999997</v>
      </c>
      <c r="AG244">
        <f t="shared" si="20"/>
        <v>438.40000000000003</v>
      </c>
      <c r="AH244">
        <f t="shared" si="21"/>
        <v>308.79999999999995</v>
      </c>
      <c r="AI244">
        <f t="shared" si="22"/>
        <v>449</v>
      </c>
      <c r="AJ244">
        <f t="shared" si="23"/>
        <v>990.7</v>
      </c>
    </row>
    <row r="245" spans="1:36" hidden="1" x14ac:dyDescent="0.3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V245" s="1">
        <f t="shared" si="18"/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  <c r="AF245">
        <f t="shared" si="19"/>
        <v>1904.6000000000001</v>
      </c>
      <c r="AG245">
        <f t="shared" si="20"/>
        <v>450.8</v>
      </c>
      <c r="AH245">
        <f t="shared" si="21"/>
        <v>316.29999999999995</v>
      </c>
      <c r="AI245">
        <f t="shared" si="22"/>
        <v>462.7</v>
      </c>
      <c r="AJ245">
        <f t="shared" si="23"/>
        <v>1020.5000000000001</v>
      </c>
    </row>
    <row r="246" spans="1:36" hidden="1" x14ac:dyDescent="0.3">
      <c r="A246" t="s">
        <v>32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 s="1">
        <f t="shared" si="18"/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  <c r="AF246">
        <f t="shared" si="19"/>
        <v>1923.9999999999998</v>
      </c>
      <c r="AG246">
        <f t="shared" si="20"/>
        <v>423.09999999999997</v>
      </c>
      <c r="AH246">
        <f t="shared" si="21"/>
        <v>306.60000000000002</v>
      </c>
      <c r="AI246">
        <f t="shared" si="22"/>
        <v>437.5</v>
      </c>
      <c r="AJ246">
        <f t="shared" si="23"/>
        <v>960</v>
      </c>
    </row>
    <row r="247" spans="1:36" hidden="1" x14ac:dyDescent="0.3">
      <c r="A247" t="s">
        <v>33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 s="1">
        <f t="shared" si="18"/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  <c r="AF247">
        <f t="shared" si="19"/>
        <v>1910.9</v>
      </c>
      <c r="AG247">
        <f t="shared" si="20"/>
        <v>439.5</v>
      </c>
      <c r="AH247">
        <f t="shared" si="21"/>
        <v>310</v>
      </c>
      <c r="AI247">
        <f t="shared" si="22"/>
        <v>451.3</v>
      </c>
      <c r="AJ247">
        <f t="shared" si="23"/>
        <v>993</v>
      </c>
    </row>
    <row r="248" spans="1:36" hidden="1" x14ac:dyDescent="0.3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V248" s="1">
        <f t="shared" si="18"/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  <c r="AF248">
        <f t="shared" si="19"/>
        <v>1940.9999999999995</v>
      </c>
      <c r="AG248">
        <f t="shared" si="20"/>
        <v>451.79999999999995</v>
      </c>
      <c r="AH248">
        <f t="shared" si="21"/>
        <v>317.3</v>
      </c>
      <c r="AI248">
        <f t="shared" si="22"/>
        <v>463.80000000000007</v>
      </c>
      <c r="AJ248">
        <f t="shared" si="23"/>
        <v>1025.7</v>
      </c>
    </row>
    <row r="249" spans="1:36" hidden="1" x14ac:dyDescent="0.3">
      <c r="A249" t="s">
        <v>32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 s="1">
        <f t="shared" si="18"/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  <c r="AF249">
        <f t="shared" si="19"/>
        <v>1956.7</v>
      </c>
      <c r="AG249">
        <f t="shared" si="20"/>
        <v>424.20000000000005</v>
      </c>
      <c r="AH249">
        <f t="shared" si="21"/>
        <v>307.20000000000005</v>
      </c>
      <c r="AI249">
        <f t="shared" si="22"/>
        <v>438.29999999999995</v>
      </c>
      <c r="AJ249">
        <f t="shared" si="23"/>
        <v>967.10000000000014</v>
      </c>
    </row>
    <row r="250" spans="1:36" hidden="1" x14ac:dyDescent="0.3">
      <c r="A250" t="s">
        <v>33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 s="1">
        <f t="shared" si="18"/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  <c r="AF250">
        <f t="shared" si="19"/>
        <v>1946.1000000000001</v>
      </c>
      <c r="AG250">
        <f t="shared" si="20"/>
        <v>440.6</v>
      </c>
      <c r="AH250">
        <f t="shared" si="21"/>
        <v>310.8</v>
      </c>
      <c r="AI250">
        <f t="shared" si="22"/>
        <v>452.2</v>
      </c>
      <c r="AJ250">
        <f t="shared" si="23"/>
        <v>999.1</v>
      </c>
    </row>
    <row r="251" spans="1:36" hidden="1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V251" s="1">
        <f t="shared" si="18"/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  <c r="AF251">
        <f t="shared" si="19"/>
        <v>1938.6</v>
      </c>
      <c r="AG251">
        <f t="shared" si="20"/>
        <v>452.30000000000007</v>
      </c>
      <c r="AH251">
        <f t="shared" si="21"/>
        <v>318.7</v>
      </c>
      <c r="AI251">
        <f t="shared" si="22"/>
        <v>466</v>
      </c>
      <c r="AJ251">
        <f t="shared" si="23"/>
        <v>1030.8999999999999</v>
      </c>
    </row>
    <row r="252" spans="1:36" hidden="1" x14ac:dyDescent="0.3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 s="1">
        <f t="shared" si="18"/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  <c r="AF252">
        <f t="shared" si="19"/>
        <v>1945.3999999999999</v>
      </c>
      <c r="AG252">
        <f t="shared" si="20"/>
        <v>425.1</v>
      </c>
      <c r="AH252">
        <f t="shared" si="21"/>
        <v>308</v>
      </c>
      <c r="AI252">
        <f t="shared" si="22"/>
        <v>441.1</v>
      </c>
      <c r="AJ252">
        <f t="shared" si="23"/>
        <v>971.80000000000007</v>
      </c>
    </row>
    <row r="253" spans="1:36" x14ac:dyDescent="0.3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 s="1">
        <f t="shared" si="18"/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  <c r="AF253">
        <f t="shared" si="19"/>
        <v>1940.3999999999999</v>
      </c>
      <c r="AG253">
        <f t="shared" si="20"/>
        <v>441.2</v>
      </c>
      <c r="AH253">
        <f t="shared" si="21"/>
        <v>312</v>
      </c>
      <c r="AI253">
        <f t="shared" si="22"/>
        <v>454.6</v>
      </c>
      <c r="AJ253">
        <f t="shared" si="23"/>
        <v>1003.9999999999999</v>
      </c>
    </row>
    <row r="254" spans="1:36" hidden="1" x14ac:dyDescent="0.3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V254" s="1">
        <f t="shared" si="18"/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  <c r="AF254">
        <f t="shared" si="19"/>
        <v>1909.7999999999997</v>
      </c>
      <c r="AG254">
        <f t="shared" si="20"/>
        <v>452.8</v>
      </c>
      <c r="AH254">
        <f t="shared" si="21"/>
        <v>319.8</v>
      </c>
      <c r="AI254">
        <f t="shared" si="22"/>
        <v>469</v>
      </c>
      <c r="AJ254">
        <f t="shared" si="23"/>
        <v>1032.4000000000001</v>
      </c>
    </row>
    <row r="255" spans="1:36" hidden="1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 s="1">
        <f t="shared" si="18"/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  <c r="AF255">
        <f t="shared" si="19"/>
        <v>1916.6</v>
      </c>
      <c r="AG255">
        <f t="shared" si="20"/>
        <v>426</v>
      </c>
      <c r="AH255">
        <f t="shared" si="21"/>
        <v>309.7</v>
      </c>
      <c r="AI255">
        <f t="shared" si="22"/>
        <v>445.90000000000003</v>
      </c>
      <c r="AJ255">
        <f t="shared" si="23"/>
        <v>973.5</v>
      </c>
    </row>
    <row r="256" spans="1:36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 s="1">
        <f t="shared" si="18"/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  <c r="AF256">
        <f t="shared" si="19"/>
        <v>1911.6</v>
      </c>
      <c r="AG256">
        <f t="shared" si="20"/>
        <v>442</v>
      </c>
      <c r="AH256">
        <f t="shared" si="21"/>
        <v>313.29999999999995</v>
      </c>
      <c r="AI256">
        <f t="shared" si="22"/>
        <v>458.2</v>
      </c>
      <c r="AJ256">
        <f t="shared" si="23"/>
        <v>1005.7</v>
      </c>
    </row>
    <row r="257" spans="1:36" hidden="1" x14ac:dyDescent="0.3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V257" s="1">
        <f t="shared" si="18"/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  <c r="AF257">
        <f t="shared" si="19"/>
        <v>1894.5999999999997</v>
      </c>
      <c r="AG257">
        <f t="shared" si="20"/>
        <v>453.5</v>
      </c>
      <c r="AH257">
        <f t="shared" si="21"/>
        <v>321.7</v>
      </c>
      <c r="AI257">
        <f t="shared" si="22"/>
        <v>469.09999999999997</v>
      </c>
      <c r="AJ257">
        <f t="shared" si="23"/>
        <v>1034.5</v>
      </c>
    </row>
    <row r="258" spans="1:36" hidden="1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 s="1">
        <f t="shared" ref="V258:V321" si="24">IF(ISBLANK(U258), U259, U258)</f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  <c r="AF258">
        <f t="shared" ref="AF258:AF321" si="25">SUM(D258:P258)</f>
        <v>1898.5</v>
      </c>
      <c r="AG258">
        <f t="shared" ref="AG258:AG321" si="26">SUM(R258:T258)</f>
        <v>427.1</v>
      </c>
      <c r="AH258">
        <f t="shared" ref="AH258:AH321" si="27">SUM(Q258,AA258)</f>
        <v>311.20000000000005</v>
      </c>
      <c r="AI258">
        <f t="shared" ref="AI258:AI321" si="28">SUM(V258,W258,AB258)</f>
        <v>448.4</v>
      </c>
      <c r="AJ258">
        <f t="shared" ref="AJ258:AJ321" si="29">SUM(R258,S258,T258,X258,Z258,AC258,AD258)</f>
        <v>976.50000000000023</v>
      </c>
    </row>
    <row r="259" spans="1:36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 s="1">
        <f t="shared" si="24"/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  <c r="AF259">
        <f t="shared" si="25"/>
        <v>1895.4</v>
      </c>
      <c r="AG259">
        <f t="shared" si="26"/>
        <v>442.90000000000003</v>
      </c>
      <c r="AH259">
        <f t="shared" si="27"/>
        <v>314.89999999999998</v>
      </c>
      <c r="AI259">
        <f t="shared" si="28"/>
        <v>459.5</v>
      </c>
      <c r="AJ259">
        <f t="shared" si="29"/>
        <v>1008.2</v>
      </c>
    </row>
    <row r="260" spans="1:36" hidden="1" x14ac:dyDescent="0.3">
      <c r="A260" t="s">
        <v>30</v>
      </c>
      <c r="B260">
        <v>2020</v>
      </c>
      <c r="C260" t="s">
        <v>36</v>
      </c>
      <c r="D260">
        <v>147.19999999999999</v>
      </c>
      <c r="E260">
        <f t="shared" ref="E260:E265" si="30">AVERAGE(E257,E254)</f>
        <v>167.15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f t="shared" ref="O260:O265" si="31">AVERAGE(O257,O254)</f>
        <v>159.6</v>
      </c>
      <c r="P260">
        <v>150.1</v>
      </c>
      <c r="Q260">
        <f t="shared" ref="Q260:T265" si="32">AVERAGE(Q257,Q254)</f>
        <v>169.95</v>
      </c>
      <c r="R260">
        <f t="shared" si="32"/>
        <v>153.19999999999999</v>
      </c>
      <c r="S260">
        <f t="shared" si="32"/>
        <v>147.55000000000001</v>
      </c>
      <c r="T260">
        <f t="shared" si="32"/>
        <v>152.4</v>
      </c>
      <c r="V260" s="1">
        <f t="shared" si="24"/>
        <v>155.6</v>
      </c>
      <c r="W260">
        <v>148.4</v>
      </c>
      <c r="X260">
        <f t="shared" ref="X260:X265" si="33">AVERAGE(X257,X254)</f>
        <v>151.65</v>
      </c>
      <c r="Y260">
        <v>154.30000000000001</v>
      </c>
      <c r="Z260">
        <f t="shared" ref="Z260:AE265" si="34">AVERAGE(Z257,Z254)</f>
        <v>135.9</v>
      </c>
      <c r="AA260">
        <f t="shared" si="34"/>
        <v>150.80000000000001</v>
      </c>
      <c r="AB260">
        <f t="shared" si="34"/>
        <v>161.55000000000001</v>
      </c>
      <c r="AC260">
        <f t="shared" si="34"/>
        <v>144.25</v>
      </c>
      <c r="AD260">
        <f t="shared" si="34"/>
        <v>148.5</v>
      </c>
      <c r="AE260">
        <f t="shared" si="34"/>
        <v>150.10000000000002</v>
      </c>
      <c r="AF260">
        <f t="shared" si="25"/>
        <v>1941.55</v>
      </c>
      <c r="AG260">
        <f t="shared" si="26"/>
        <v>453.15</v>
      </c>
      <c r="AH260">
        <f t="shared" si="27"/>
        <v>320.75</v>
      </c>
      <c r="AI260">
        <f t="shared" si="28"/>
        <v>465.55</v>
      </c>
      <c r="AJ260">
        <f t="shared" si="29"/>
        <v>1033.4499999999998</v>
      </c>
    </row>
    <row r="261" spans="1:36" hidden="1" x14ac:dyDescent="0.3">
      <c r="A261" t="s">
        <v>32</v>
      </c>
      <c r="B261">
        <v>2020</v>
      </c>
      <c r="C261" t="s">
        <v>36</v>
      </c>
      <c r="D261">
        <v>151.80000000000001</v>
      </c>
      <c r="E261">
        <f t="shared" si="30"/>
        <v>167.55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f t="shared" si="31"/>
        <v>159.05000000000001</v>
      </c>
      <c r="P261">
        <v>153.5</v>
      </c>
      <c r="Q261">
        <f t="shared" si="32"/>
        <v>172.65</v>
      </c>
      <c r="R261">
        <f t="shared" si="32"/>
        <v>147.5</v>
      </c>
      <c r="S261">
        <f t="shared" si="32"/>
        <v>133.65</v>
      </c>
      <c r="T261">
        <f t="shared" si="32"/>
        <v>145.39999999999998</v>
      </c>
      <c r="U261">
        <v>155.6</v>
      </c>
      <c r="V261" s="1">
        <f t="shared" si="24"/>
        <v>155.6</v>
      </c>
      <c r="W261">
        <v>137.1</v>
      </c>
      <c r="X261">
        <f t="shared" si="33"/>
        <v>140.60000000000002</v>
      </c>
      <c r="Y261">
        <v>144.80000000000001</v>
      </c>
      <c r="Z261">
        <f t="shared" si="34"/>
        <v>124.9</v>
      </c>
      <c r="AA261">
        <f t="shared" si="34"/>
        <v>137.80000000000001</v>
      </c>
      <c r="AB261">
        <f t="shared" si="34"/>
        <v>152.35</v>
      </c>
      <c r="AC261">
        <f t="shared" si="34"/>
        <v>144.4</v>
      </c>
      <c r="AD261">
        <f t="shared" si="34"/>
        <v>138.55000000000001</v>
      </c>
      <c r="AE261">
        <f t="shared" si="34"/>
        <v>147.5</v>
      </c>
      <c r="AF261">
        <f t="shared" si="25"/>
        <v>1963.3</v>
      </c>
      <c r="AG261">
        <f t="shared" si="26"/>
        <v>426.54999999999995</v>
      </c>
      <c r="AH261">
        <f t="shared" si="27"/>
        <v>310.45000000000005</v>
      </c>
      <c r="AI261">
        <f t="shared" si="28"/>
        <v>445.04999999999995</v>
      </c>
      <c r="AJ261">
        <f t="shared" si="29"/>
        <v>975</v>
      </c>
    </row>
    <row r="262" spans="1:36" x14ac:dyDescent="0.3">
      <c r="A262" t="s">
        <v>33</v>
      </c>
      <c r="B262">
        <v>2020</v>
      </c>
      <c r="C262" t="s">
        <v>36</v>
      </c>
      <c r="D262">
        <v>148.69999999999999</v>
      </c>
      <c r="E262">
        <f t="shared" si="30"/>
        <v>167.25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f t="shared" si="31"/>
        <v>159.35</v>
      </c>
      <c r="P262">
        <v>151.4</v>
      </c>
      <c r="Q262">
        <f t="shared" si="32"/>
        <v>170.64999999999998</v>
      </c>
      <c r="R262">
        <f t="shared" si="32"/>
        <v>151</v>
      </c>
      <c r="S262">
        <f t="shared" si="32"/>
        <v>141.80000000000001</v>
      </c>
      <c r="T262">
        <f t="shared" si="32"/>
        <v>149.65</v>
      </c>
      <c r="U262">
        <v>155.6</v>
      </c>
      <c r="V262" s="1">
        <f t="shared" si="24"/>
        <v>155.6</v>
      </c>
      <c r="W262">
        <v>144.1</v>
      </c>
      <c r="X262">
        <f t="shared" si="33"/>
        <v>146.4</v>
      </c>
      <c r="Y262">
        <v>150.69999999999999</v>
      </c>
      <c r="Z262">
        <f t="shared" si="34"/>
        <v>130.10000000000002</v>
      </c>
      <c r="AA262">
        <f t="shared" si="34"/>
        <v>143.44999999999999</v>
      </c>
      <c r="AB262">
        <f t="shared" si="34"/>
        <v>156.14999999999998</v>
      </c>
      <c r="AC262">
        <f t="shared" si="34"/>
        <v>144.30000000000001</v>
      </c>
      <c r="AD262">
        <f t="shared" si="34"/>
        <v>143.69999999999999</v>
      </c>
      <c r="AE262">
        <f t="shared" si="34"/>
        <v>148.85</v>
      </c>
      <c r="AF262">
        <f t="shared" si="25"/>
        <v>1949.3</v>
      </c>
      <c r="AG262">
        <f t="shared" si="26"/>
        <v>442.45000000000005</v>
      </c>
      <c r="AH262">
        <f t="shared" si="27"/>
        <v>314.09999999999997</v>
      </c>
      <c r="AI262">
        <f t="shared" si="28"/>
        <v>455.84999999999997</v>
      </c>
      <c r="AJ262">
        <f t="shared" si="29"/>
        <v>1006.95</v>
      </c>
    </row>
    <row r="263" spans="1:36" hidden="1" x14ac:dyDescent="0.3">
      <c r="A263" t="s">
        <v>30</v>
      </c>
      <c r="B263">
        <v>2020</v>
      </c>
      <c r="C263" t="s">
        <v>37</v>
      </c>
      <c r="D263">
        <f>AVERAGE(D260,D257)</f>
        <v>145.80000000000001</v>
      </c>
      <c r="E263">
        <f t="shared" si="30"/>
        <v>166.97500000000002</v>
      </c>
      <c r="F263">
        <f t="shared" ref="F263:N263" si="35">AVERAGE(F260,F257)</f>
        <v>147.25</v>
      </c>
      <c r="G263">
        <f t="shared" si="35"/>
        <v>153.64999999999998</v>
      </c>
      <c r="H263">
        <f t="shared" si="35"/>
        <v>135.19999999999999</v>
      </c>
      <c r="I263">
        <f t="shared" si="35"/>
        <v>144.55000000000001</v>
      </c>
      <c r="J263">
        <f t="shared" si="35"/>
        <v>157.5</v>
      </c>
      <c r="K263">
        <f t="shared" si="35"/>
        <v>146</v>
      </c>
      <c r="L263">
        <f t="shared" si="35"/>
        <v>116.19999999999999</v>
      </c>
      <c r="M263">
        <f t="shared" si="35"/>
        <v>156.35</v>
      </c>
      <c r="N263">
        <f t="shared" si="35"/>
        <v>139.64999999999998</v>
      </c>
      <c r="O263">
        <f t="shared" si="31"/>
        <v>159.80000000000001</v>
      </c>
      <c r="P263">
        <f>AVERAGE(P260,P257)</f>
        <v>149.14999999999998</v>
      </c>
      <c r="Q263">
        <f t="shared" si="32"/>
        <v>170.22499999999999</v>
      </c>
      <c r="R263">
        <f t="shared" si="32"/>
        <v>153.30000000000001</v>
      </c>
      <c r="S263">
        <f t="shared" si="32"/>
        <v>147.57499999999999</v>
      </c>
      <c r="T263">
        <f t="shared" si="32"/>
        <v>152.44999999999999</v>
      </c>
      <c r="V263" s="1">
        <f t="shared" si="24"/>
        <v>0</v>
      </c>
      <c r="W263">
        <f>AVERAGE(W260,W257)</f>
        <v>150.9</v>
      </c>
      <c r="X263">
        <f t="shared" si="33"/>
        <v>151.57499999999999</v>
      </c>
      <c r="Y263">
        <f>AVERAGE(Y260,Y257)</f>
        <v>155.5</v>
      </c>
      <c r="Z263">
        <f t="shared" si="34"/>
        <v>135.85000000000002</v>
      </c>
      <c r="AA263">
        <f t="shared" si="34"/>
        <v>151</v>
      </c>
      <c r="AB263">
        <f t="shared" si="34"/>
        <v>161.375</v>
      </c>
      <c r="AC263">
        <f t="shared" si="34"/>
        <v>144.67500000000001</v>
      </c>
      <c r="AD263">
        <f t="shared" si="34"/>
        <v>148.55000000000001</v>
      </c>
      <c r="AE263">
        <f t="shared" si="34"/>
        <v>149.95000000000002</v>
      </c>
      <c r="AF263">
        <f t="shared" si="25"/>
        <v>1918.0749999999998</v>
      </c>
      <c r="AG263">
        <f t="shared" si="26"/>
        <v>453.32499999999999</v>
      </c>
      <c r="AH263">
        <f t="shared" si="27"/>
        <v>321.22500000000002</v>
      </c>
      <c r="AI263">
        <f t="shared" si="28"/>
        <v>312.27499999999998</v>
      </c>
      <c r="AJ263">
        <f t="shared" si="29"/>
        <v>1033.9749999999999</v>
      </c>
    </row>
    <row r="264" spans="1:36" hidden="1" x14ac:dyDescent="0.3">
      <c r="A264" t="s">
        <v>32</v>
      </c>
      <c r="B264">
        <v>2020</v>
      </c>
      <c r="C264" t="s">
        <v>37</v>
      </c>
      <c r="D264">
        <f>AVERAGE(D261,D258)</f>
        <v>149.15</v>
      </c>
      <c r="E264">
        <f t="shared" si="30"/>
        <v>167.52500000000001</v>
      </c>
      <c r="F264">
        <f t="shared" ref="F264:N264" si="36">AVERAGE(F261,F258)</f>
        <v>150.4</v>
      </c>
      <c r="G264">
        <f t="shared" si="36"/>
        <v>153.30000000000001</v>
      </c>
      <c r="H264">
        <f t="shared" si="36"/>
        <v>129.55000000000001</v>
      </c>
      <c r="I264">
        <f t="shared" si="36"/>
        <v>148.10000000000002</v>
      </c>
      <c r="J264">
        <f t="shared" si="36"/>
        <v>173.5</v>
      </c>
      <c r="K264">
        <f t="shared" si="36"/>
        <v>145.25</v>
      </c>
      <c r="L264">
        <f t="shared" si="36"/>
        <v>117.80000000000001</v>
      </c>
      <c r="M264">
        <f t="shared" si="36"/>
        <v>152.75</v>
      </c>
      <c r="N264">
        <f t="shared" si="36"/>
        <v>132.69999999999999</v>
      </c>
      <c r="O264">
        <f t="shared" si="31"/>
        <v>159.07499999999999</v>
      </c>
      <c r="P264">
        <f>AVERAGE(P261,P258)</f>
        <v>151.80000000000001</v>
      </c>
      <c r="Q264">
        <f t="shared" si="32"/>
        <v>172.97500000000002</v>
      </c>
      <c r="R264">
        <f t="shared" si="32"/>
        <v>147.6</v>
      </c>
      <c r="S264">
        <f t="shared" si="32"/>
        <v>133.72500000000002</v>
      </c>
      <c r="T264">
        <f t="shared" si="32"/>
        <v>145.5</v>
      </c>
      <c r="V264" s="1">
        <f t="shared" si="24"/>
        <v>0</v>
      </c>
      <c r="W264">
        <f>AVERAGE(W261,W258)</f>
        <v>139.25</v>
      </c>
      <c r="X264">
        <f t="shared" si="33"/>
        <v>140.70000000000002</v>
      </c>
      <c r="Y264">
        <f>AVERAGE(Y261,Y258)</f>
        <v>144.9</v>
      </c>
      <c r="Z264">
        <f t="shared" si="34"/>
        <v>124.75</v>
      </c>
      <c r="AA264">
        <f t="shared" si="34"/>
        <v>137.85000000000002</v>
      </c>
      <c r="AB264">
        <f t="shared" si="34"/>
        <v>152.42500000000001</v>
      </c>
      <c r="AC264">
        <f t="shared" si="34"/>
        <v>144.85000000000002</v>
      </c>
      <c r="AD264">
        <f t="shared" si="34"/>
        <v>138.625</v>
      </c>
      <c r="AE264">
        <f t="shared" si="34"/>
        <v>147.4</v>
      </c>
      <c r="AF264">
        <f t="shared" si="25"/>
        <v>1930.9</v>
      </c>
      <c r="AG264">
        <f t="shared" si="26"/>
        <v>426.82500000000005</v>
      </c>
      <c r="AH264">
        <f t="shared" si="27"/>
        <v>310.82500000000005</v>
      </c>
      <c r="AI264">
        <f t="shared" si="28"/>
        <v>291.67500000000001</v>
      </c>
      <c r="AJ264">
        <f t="shared" si="29"/>
        <v>975.75000000000011</v>
      </c>
    </row>
    <row r="265" spans="1:36" x14ac:dyDescent="0.3">
      <c r="A265" t="s">
        <v>33</v>
      </c>
      <c r="B265">
        <v>2020</v>
      </c>
      <c r="C265" t="s">
        <v>37</v>
      </c>
      <c r="D265">
        <f>AVERAGE(D262,D259)</f>
        <v>146.89999999999998</v>
      </c>
      <c r="E265">
        <f t="shared" si="30"/>
        <v>167.125</v>
      </c>
      <c r="F265">
        <f t="shared" ref="F265:N265" si="37">AVERAGE(F262,F259)</f>
        <v>148.44999999999999</v>
      </c>
      <c r="G265">
        <f t="shared" si="37"/>
        <v>153.55000000000001</v>
      </c>
      <c r="H265">
        <f t="shared" si="37"/>
        <v>133.14999999999998</v>
      </c>
      <c r="I265">
        <f t="shared" si="37"/>
        <v>146.19999999999999</v>
      </c>
      <c r="J265">
        <f t="shared" si="37"/>
        <v>162.94999999999999</v>
      </c>
      <c r="K265">
        <f t="shared" si="37"/>
        <v>145.75</v>
      </c>
      <c r="L265">
        <f t="shared" si="37"/>
        <v>116.75</v>
      </c>
      <c r="M265">
        <f t="shared" si="37"/>
        <v>155.14999999999998</v>
      </c>
      <c r="N265">
        <f t="shared" si="37"/>
        <v>136.75</v>
      </c>
      <c r="O265">
        <f t="shared" si="31"/>
        <v>159.47499999999999</v>
      </c>
      <c r="P265">
        <f>AVERAGE(P262,P259)</f>
        <v>150.15</v>
      </c>
      <c r="Q265">
        <f t="shared" si="32"/>
        <v>170.92499999999998</v>
      </c>
      <c r="R265">
        <f t="shared" si="32"/>
        <v>151.1</v>
      </c>
      <c r="S265">
        <f t="shared" si="32"/>
        <v>141.85000000000002</v>
      </c>
      <c r="T265">
        <f t="shared" si="32"/>
        <v>149.72500000000002</v>
      </c>
      <c r="V265" s="1">
        <f t="shared" si="24"/>
        <v>0</v>
      </c>
      <c r="W265">
        <f>AVERAGE(W262,W259)</f>
        <v>146.5</v>
      </c>
      <c r="X265">
        <f t="shared" si="33"/>
        <v>146.4</v>
      </c>
      <c r="Y265">
        <f>AVERAGE(Y262,Y259)</f>
        <v>151.5</v>
      </c>
      <c r="Z265">
        <f t="shared" si="34"/>
        <v>130</v>
      </c>
      <c r="AA265">
        <f t="shared" si="34"/>
        <v>143.57499999999999</v>
      </c>
      <c r="AB265">
        <f t="shared" si="34"/>
        <v>156.125</v>
      </c>
      <c r="AC265">
        <f t="shared" si="34"/>
        <v>144.75</v>
      </c>
      <c r="AD265">
        <f t="shared" si="34"/>
        <v>143.75</v>
      </c>
      <c r="AE265">
        <f t="shared" si="34"/>
        <v>148.72499999999999</v>
      </c>
      <c r="AF265">
        <f t="shared" si="25"/>
        <v>1922.35</v>
      </c>
      <c r="AG265">
        <f t="shared" si="26"/>
        <v>442.67500000000007</v>
      </c>
      <c r="AH265">
        <f t="shared" si="27"/>
        <v>314.5</v>
      </c>
      <c r="AI265">
        <f t="shared" si="28"/>
        <v>302.625</v>
      </c>
      <c r="AJ265">
        <f t="shared" si="29"/>
        <v>1007.575</v>
      </c>
    </row>
    <row r="266" spans="1:36" hidden="1" x14ac:dyDescent="0.3">
      <c r="A266" t="s">
        <v>30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V266" s="1">
        <f t="shared" si="24"/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  <c r="AF266">
        <f t="shared" si="25"/>
        <v>1951</v>
      </c>
      <c r="AG266">
        <f t="shared" si="26"/>
        <v>458.79999999999995</v>
      </c>
      <c r="AH266">
        <f t="shared" si="27"/>
        <v>335.6</v>
      </c>
      <c r="AI266">
        <f t="shared" si="28"/>
        <v>461.40000000000003</v>
      </c>
      <c r="AJ266">
        <f t="shared" si="29"/>
        <v>1054.8</v>
      </c>
    </row>
    <row r="267" spans="1:36" hidden="1" x14ac:dyDescent="0.3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 s="1">
        <f t="shared" si="24"/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  <c r="AF267">
        <f t="shared" si="25"/>
        <v>1994.9999999999998</v>
      </c>
      <c r="AG267">
        <f t="shared" si="26"/>
        <v>432.9</v>
      </c>
      <c r="AH267">
        <f t="shared" si="27"/>
        <v>331.2</v>
      </c>
      <c r="AI267">
        <f t="shared" si="28"/>
        <v>444.29999999999995</v>
      </c>
      <c r="AJ267">
        <f t="shared" si="29"/>
        <v>996.8</v>
      </c>
    </row>
    <row r="268" spans="1:36" x14ac:dyDescent="0.3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 s="1">
        <f t="shared" si="24"/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  <c r="AF268">
        <f t="shared" si="25"/>
        <v>1966.8000000000002</v>
      </c>
      <c r="AG268">
        <f t="shared" si="26"/>
        <v>448.29999999999995</v>
      </c>
      <c r="AH268">
        <f t="shared" si="27"/>
        <v>331.8</v>
      </c>
      <c r="AI268">
        <f t="shared" si="28"/>
        <v>453</v>
      </c>
      <c r="AJ268">
        <f t="shared" si="29"/>
        <v>1028.3</v>
      </c>
    </row>
    <row r="269" spans="1:36" hidden="1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V269" s="1">
        <f t="shared" si="24"/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  <c r="AF269">
        <f t="shared" si="25"/>
        <v>1951</v>
      </c>
      <c r="AG269">
        <f t="shared" si="26"/>
        <v>458.79999999999995</v>
      </c>
      <c r="AH269">
        <f t="shared" si="27"/>
        <v>335.6</v>
      </c>
      <c r="AI269">
        <f t="shared" si="28"/>
        <v>461.40000000000003</v>
      </c>
      <c r="AJ269">
        <f t="shared" si="29"/>
        <v>1054.8</v>
      </c>
    </row>
    <row r="270" spans="1:36" hidden="1" x14ac:dyDescent="0.3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 s="1">
        <f t="shared" si="24"/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  <c r="AF270">
        <f t="shared" si="25"/>
        <v>1994.9999999999998</v>
      </c>
      <c r="AG270">
        <f t="shared" si="26"/>
        <v>432.9</v>
      </c>
      <c r="AH270">
        <f t="shared" si="27"/>
        <v>331.2</v>
      </c>
      <c r="AI270">
        <f t="shared" si="28"/>
        <v>444.29999999999995</v>
      </c>
      <c r="AJ270">
        <f t="shared" si="29"/>
        <v>996.8</v>
      </c>
    </row>
    <row r="271" spans="1:36" x14ac:dyDescent="0.3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 s="1">
        <f t="shared" si="24"/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  <c r="AF271">
        <f t="shared" si="25"/>
        <v>1966.8000000000002</v>
      </c>
      <c r="AG271">
        <f t="shared" si="26"/>
        <v>448.29999999999995</v>
      </c>
      <c r="AH271">
        <f t="shared" si="27"/>
        <v>331.8</v>
      </c>
      <c r="AI271">
        <f t="shared" si="28"/>
        <v>453</v>
      </c>
      <c r="AJ271">
        <f t="shared" si="29"/>
        <v>1028.3</v>
      </c>
    </row>
    <row r="272" spans="1:36" hidden="1" x14ac:dyDescent="0.3">
      <c r="A272" t="s">
        <v>30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V272" s="1">
        <f t="shared" si="24"/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  <c r="AF272">
        <f t="shared" si="25"/>
        <v>1978.6</v>
      </c>
      <c r="AG272">
        <f t="shared" si="26"/>
        <v>458.7</v>
      </c>
      <c r="AH272">
        <f t="shared" si="27"/>
        <v>333.1</v>
      </c>
      <c r="AI272">
        <f t="shared" si="28"/>
        <v>464</v>
      </c>
      <c r="AJ272">
        <f t="shared" si="29"/>
        <v>1060.8000000000002</v>
      </c>
    </row>
    <row r="273" spans="1:36" hidden="1" x14ac:dyDescent="0.3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 s="1">
        <f t="shared" si="24"/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  <c r="AF273">
        <f t="shared" si="25"/>
        <v>2024.8999999999999</v>
      </c>
      <c r="AG273">
        <f t="shared" si="26"/>
        <v>433</v>
      </c>
      <c r="AH273">
        <f t="shared" si="27"/>
        <v>328.4</v>
      </c>
      <c r="AI273">
        <f t="shared" si="28"/>
        <v>449.3</v>
      </c>
      <c r="AJ273">
        <f t="shared" si="29"/>
        <v>1011.3999999999999</v>
      </c>
    </row>
    <row r="274" spans="1:36" x14ac:dyDescent="0.3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 s="1">
        <f t="shared" si="24"/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  <c r="AF274">
        <f t="shared" si="25"/>
        <v>1995.1999999999998</v>
      </c>
      <c r="AG274">
        <f t="shared" si="26"/>
        <v>448.2</v>
      </c>
      <c r="AH274">
        <f t="shared" si="27"/>
        <v>328.6</v>
      </c>
      <c r="AI274">
        <f t="shared" si="28"/>
        <v>457</v>
      </c>
      <c r="AJ274">
        <f t="shared" si="29"/>
        <v>1038.4000000000001</v>
      </c>
    </row>
    <row r="275" spans="1:36" hidden="1" x14ac:dyDescent="0.3">
      <c r="A275" t="s">
        <v>30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V275" s="1">
        <f t="shared" si="24"/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  <c r="AF275">
        <f t="shared" si="25"/>
        <v>1987.3999999999999</v>
      </c>
      <c r="AG275">
        <f t="shared" si="26"/>
        <v>459.9</v>
      </c>
      <c r="AH275">
        <f t="shared" si="27"/>
        <v>335.70000000000005</v>
      </c>
      <c r="AI275">
        <f t="shared" si="28"/>
        <v>463.80000000000007</v>
      </c>
      <c r="AJ275">
        <f t="shared" si="29"/>
        <v>1067.2</v>
      </c>
    </row>
    <row r="276" spans="1:36" hidden="1" x14ac:dyDescent="0.3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 s="1">
        <f t="shared" si="24"/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  <c r="AF276">
        <f t="shared" si="25"/>
        <v>2041.6000000000001</v>
      </c>
      <c r="AG276">
        <f t="shared" si="26"/>
        <v>434.6</v>
      </c>
      <c r="AH276">
        <f t="shared" si="27"/>
        <v>330.5</v>
      </c>
      <c r="AI276">
        <f t="shared" si="28"/>
        <v>448.4</v>
      </c>
      <c r="AJ276">
        <f t="shared" si="29"/>
        <v>1020.9000000000001</v>
      </c>
    </row>
    <row r="277" spans="1:36" x14ac:dyDescent="0.3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 s="1">
        <f t="shared" si="24"/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  <c r="AF277">
        <f t="shared" si="25"/>
        <v>2007</v>
      </c>
      <c r="AG277">
        <f t="shared" si="26"/>
        <v>449.70000000000005</v>
      </c>
      <c r="AH277">
        <f t="shared" si="27"/>
        <v>331</v>
      </c>
      <c r="AI277">
        <f t="shared" si="28"/>
        <v>456.70000000000005</v>
      </c>
      <c r="AJ277">
        <f t="shared" si="29"/>
        <v>1046.4000000000001</v>
      </c>
    </row>
    <row r="278" spans="1:36" hidden="1" x14ac:dyDescent="0.3">
      <c r="A278" t="s">
        <v>30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V278" s="1">
        <f t="shared" si="24"/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  <c r="AF278">
        <f t="shared" si="25"/>
        <v>2030.9</v>
      </c>
      <c r="AG278">
        <f t="shared" si="26"/>
        <v>461.29999999999995</v>
      </c>
      <c r="AH278">
        <f t="shared" si="27"/>
        <v>335.1</v>
      </c>
      <c r="AI278">
        <f t="shared" si="28"/>
        <v>465.8</v>
      </c>
      <c r="AJ278">
        <f t="shared" si="29"/>
        <v>1070.1999999999998</v>
      </c>
    </row>
    <row r="279" spans="1:36" hidden="1" x14ac:dyDescent="0.3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 s="1">
        <f t="shared" si="24"/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  <c r="AF279">
        <f t="shared" si="25"/>
        <v>2080.1999999999998</v>
      </c>
      <c r="AG279">
        <f t="shared" si="26"/>
        <v>434.90000000000003</v>
      </c>
      <c r="AH279">
        <f t="shared" si="27"/>
        <v>330.7</v>
      </c>
      <c r="AI279">
        <f t="shared" si="28"/>
        <v>449.3</v>
      </c>
      <c r="AJ279">
        <f t="shared" si="29"/>
        <v>1019.7</v>
      </c>
    </row>
    <row r="280" spans="1:36" x14ac:dyDescent="0.3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 s="1">
        <f t="shared" si="24"/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  <c r="AF280">
        <f t="shared" si="25"/>
        <v>2048.6000000000004</v>
      </c>
      <c r="AG280">
        <f t="shared" si="26"/>
        <v>450.59999999999997</v>
      </c>
      <c r="AH280">
        <f t="shared" si="27"/>
        <v>330.8</v>
      </c>
      <c r="AI280">
        <f t="shared" si="28"/>
        <v>458.1</v>
      </c>
      <c r="AJ280">
        <f t="shared" si="29"/>
        <v>1047.3</v>
      </c>
    </row>
    <row r="281" spans="1:36" hidden="1" x14ac:dyDescent="0.3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V281" s="1">
        <f t="shared" si="24"/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  <c r="AF281">
        <f t="shared" si="25"/>
        <v>2082.4</v>
      </c>
      <c r="AG281">
        <f t="shared" si="26"/>
        <v>462.8</v>
      </c>
      <c r="AH281">
        <f t="shared" si="27"/>
        <v>337</v>
      </c>
      <c r="AI281">
        <f t="shared" si="28"/>
        <v>467.1</v>
      </c>
      <c r="AJ281">
        <f t="shared" si="29"/>
        <v>1072.4000000000001</v>
      </c>
    </row>
    <row r="282" spans="1:36" hidden="1" x14ac:dyDescent="0.3">
      <c r="A282" t="s">
        <v>32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 s="1">
        <f t="shared" si="24"/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  <c r="AF282">
        <f t="shared" si="25"/>
        <v>2120.6999999999998</v>
      </c>
      <c r="AG282">
        <f t="shared" si="26"/>
        <v>436.3</v>
      </c>
      <c r="AH282">
        <f t="shared" si="27"/>
        <v>333.20000000000005</v>
      </c>
      <c r="AI282">
        <f t="shared" si="28"/>
        <v>451.70000000000005</v>
      </c>
      <c r="AJ282">
        <f t="shared" si="29"/>
        <v>1021.0999999999999</v>
      </c>
    </row>
    <row r="283" spans="1:36" x14ac:dyDescent="0.3">
      <c r="A283" t="s">
        <v>33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 s="1">
        <f t="shared" si="24"/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  <c r="AF283">
        <f t="shared" si="25"/>
        <v>2095.6</v>
      </c>
      <c r="AG283">
        <f t="shared" si="26"/>
        <v>452.00000000000006</v>
      </c>
      <c r="AH283">
        <f t="shared" si="27"/>
        <v>333.20000000000005</v>
      </c>
      <c r="AI283">
        <f t="shared" si="28"/>
        <v>460.20000000000005</v>
      </c>
      <c r="AJ283">
        <f t="shared" si="29"/>
        <v>1049.2</v>
      </c>
    </row>
    <row r="284" spans="1:36" hidden="1" x14ac:dyDescent="0.3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V284" s="1">
        <f t="shared" si="24"/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  <c r="AF284">
        <f t="shared" si="25"/>
        <v>2100.5</v>
      </c>
      <c r="AG284">
        <f t="shared" si="26"/>
        <v>464.90000000000003</v>
      </c>
      <c r="AH284">
        <f t="shared" si="27"/>
        <v>337.5</v>
      </c>
      <c r="AI284">
        <f t="shared" si="28"/>
        <v>470</v>
      </c>
      <c r="AJ284">
        <f t="shared" si="29"/>
        <v>1076.5</v>
      </c>
    </row>
    <row r="285" spans="1:36" hidden="1" x14ac:dyDescent="0.3">
      <c r="A285" t="s">
        <v>32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 s="1">
        <f t="shared" si="24"/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  <c r="AF285">
        <f t="shared" si="25"/>
        <v>2125.4</v>
      </c>
      <c r="AG285">
        <f t="shared" si="26"/>
        <v>438.20000000000005</v>
      </c>
      <c r="AH285">
        <f t="shared" si="27"/>
        <v>334.5</v>
      </c>
      <c r="AI285">
        <f t="shared" si="28"/>
        <v>453.20000000000005</v>
      </c>
      <c r="AJ285">
        <f t="shared" si="29"/>
        <v>1024</v>
      </c>
    </row>
    <row r="286" spans="1:36" x14ac:dyDescent="0.3">
      <c r="A286" t="s">
        <v>33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 s="1">
        <f t="shared" si="24"/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  <c r="AF286">
        <f t="shared" si="25"/>
        <v>2109.1</v>
      </c>
      <c r="AG286">
        <f t="shared" si="26"/>
        <v>454</v>
      </c>
      <c r="AH286">
        <f t="shared" si="27"/>
        <v>333.9</v>
      </c>
      <c r="AI286">
        <f t="shared" si="28"/>
        <v>462.4</v>
      </c>
      <c r="AJ286">
        <f t="shared" si="29"/>
        <v>1052.7</v>
      </c>
    </row>
    <row r="287" spans="1:36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V287" s="1">
        <f t="shared" si="24"/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  <c r="AF287">
        <f t="shared" si="25"/>
        <v>2065.6999999999998</v>
      </c>
      <c r="AG287">
        <f t="shared" si="26"/>
        <v>466.7</v>
      </c>
      <c r="AH287">
        <f t="shared" si="27"/>
        <v>339.7</v>
      </c>
      <c r="AI287">
        <f t="shared" si="28"/>
        <v>472.1</v>
      </c>
      <c r="AJ287">
        <f t="shared" si="29"/>
        <v>1080.2</v>
      </c>
    </row>
    <row r="288" spans="1:36" hidden="1" x14ac:dyDescent="0.3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 s="1">
        <f t="shared" si="24"/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  <c r="AF288">
        <f t="shared" si="25"/>
        <v>2097</v>
      </c>
      <c r="AG288">
        <f t="shared" si="26"/>
        <v>440</v>
      </c>
      <c r="AH288">
        <f t="shared" si="27"/>
        <v>337.20000000000005</v>
      </c>
      <c r="AI288">
        <f t="shared" si="28"/>
        <v>456.70000000000005</v>
      </c>
      <c r="AJ288">
        <f t="shared" si="29"/>
        <v>1027.8999999999999</v>
      </c>
    </row>
    <row r="289" spans="1:36" x14ac:dyDescent="0.3">
      <c r="A289" t="s">
        <v>33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 s="1">
        <f t="shared" si="24"/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  <c r="AF289">
        <f t="shared" si="25"/>
        <v>2076.5</v>
      </c>
      <c r="AG289">
        <f t="shared" si="26"/>
        <v>455.8</v>
      </c>
      <c r="AH289">
        <f t="shared" si="27"/>
        <v>336.1</v>
      </c>
      <c r="AI289">
        <f t="shared" si="28"/>
        <v>464.8</v>
      </c>
      <c r="AJ289">
        <f t="shared" si="29"/>
        <v>1056.4000000000001</v>
      </c>
    </row>
    <row r="290" spans="1:36" hidden="1" x14ac:dyDescent="0.3">
      <c r="A290" t="s">
        <v>30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V290" s="1">
        <f t="shared" si="24"/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  <c r="AF290">
        <f t="shared" si="25"/>
        <v>2025.3</v>
      </c>
      <c r="AG290">
        <f t="shared" si="26"/>
        <v>471.4</v>
      </c>
      <c r="AH290">
        <f t="shared" si="27"/>
        <v>343.5</v>
      </c>
      <c r="AI290">
        <f t="shared" si="28"/>
        <v>477.80000000000007</v>
      </c>
      <c r="AJ290">
        <f t="shared" si="29"/>
        <v>1088.8000000000002</v>
      </c>
    </row>
    <row r="291" spans="1:36" hidden="1" x14ac:dyDescent="0.3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 s="1">
        <f t="shared" si="24"/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  <c r="AF291">
        <f t="shared" si="25"/>
        <v>2066</v>
      </c>
      <c r="AG291">
        <f t="shared" si="26"/>
        <v>444.2</v>
      </c>
      <c r="AH291">
        <f t="shared" si="27"/>
        <v>340.6</v>
      </c>
      <c r="AI291">
        <f t="shared" si="28"/>
        <v>465.5</v>
      </c>
      <c r="AJ291">
        <f t="shared" si="29"/>
        <v>1037.2</v>
      </c>
    </row>
    <row r="292" spans="1:36" x14ac:dyDescent="0.3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 s="1">
        <f t="shared" si="24"/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  <c r="AF292">
        <f t="shared" si="25"/>
        <v>2039.3000000000002</v>
      </c>
      <c r="AG292">
        <f t="shared" si="26"/>
        <v>460.40000000000003</v>
      </c>
      <c r="AH292">
        <f t="shared" si="27"/>
        <v>339.8</v>
      </c>
      <c r="AI292">
        <f t="shared" si="28"/>
        <v>471.70000000000005</v>
      </c>
      <c r="AJ292">
        <f t="shared" si="29"/>
        <v>1065.6000000000001</v>
      </c>
    </row>
    <row r="293" spans="1:36" hidden="1" x14ac:dyDescent="0.3">
      <c r="A293" t="s">
        <v>30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V293" s="1">
        <f t="shared" si="24"/>
        <v>159.9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  <c r="AF293">
        <f t="shared" si="25"/>
        <v>2025.7</v>
      </c>
      <c r="AG293">
        <f t="shared" si="26"/>
        <v>472.9</v>
      </c>
      <c r="AH293">
        <f t="shared" si="27"/>
        <v>343.9</v>
      </c>
      <c r="AI293">
        <f t="shared" si="28"/>
        <v>479.7</v>
      </c>
      <c r="AJ293">
        <f t="shared" si="29"/>
        <v>1089.4000000000001</v>
      </c>
    </row>
    <row r="294" spans="1:36" hidden="1" x14ac:dyDescent="0.3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 s="1">
        <f t="shared" si="24"/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  <c r="AF294">
        <f t="shared" si="25"/>
        <v>2064.4999999999995</v>
      </c>
      <c r="AG294">
        <f t="shared" si="26"/>
        <v>446.4</v>
      </c>
      <c r="AH294">
        <f t="shared" si="27"/>
        <v>342.1</v>
      </c>
      <c r="AI294">
        <f t="shared" si="28"/>
        <v>472.30000000000007</v>
      </c>
      <c r="AJ294">
        <f t="shared" si="29"/>
        <v>1040.1999999999998</v>
      </c>
    </row>
    <row r="295" spans="1:36" x14ac:dyDescent="0.3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 s="1">
        <f t="shared" si="24"/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  <c r="AF295">
        <f t="shared" si="25"/>
        <v>2039.3999999999999</v>
      </c>
      <c r="AG295">
        <f t="shared" si="26"/>
        <v>462.1</v>
      </c>
      <c r="AH295">
        <f t="shared" si="27"/>
        <v>340.7</v>
      </c>
      <c r="AI295">
        <f t="shared" si="28"/>
        <v>475.59999999999997</v>
      </c>
      <c r="AJ295">
        <f t="shared" si="29"/>
        <v>1067.0999999999999</v>
      </c>
    </row>
    <row r="296" spans="1:36" hidden="1" x14ac:dyDescent="0.3">
      <c r="A296" t="s">
        <v>30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V296" s="1">
        <f t="shared" si="24"/>
        <v>161.4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  <c r="AF296">
        <f t="shared" si="25"/>
        <v>2049.5</v>
      </c>
      <c r="AG296">
        <f t="shared" si="26"/>
        <v>475.69999999999993</v>
      </c>
      <c r="AH296">
        <f t="shared" si="27"/>
        <v>345.4</v>
      </c>
      <c r="AI296">
        <f t="shared" si="28"/>
        <v>481.5</v>
      </c>
      <c r="AJ296">
        <f t="shared" si="29"/>
        <v>1095.5</v>
      </c>
    </row>
    <row r="297" spans="1:36" hidden="1" x14ac:dyDescent="0.3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 s="1">
        <f t="shared" si="24"/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  <c r="AF297">
        <f t="shared" si="25"/>
        <v>2089.6</v>
      </c>
      <c r="AG297">
        <f t="shared" si="26"/>
        <v>448.6</v>
      </c>
      <c r="AH297">
        <f t="shared" si="27"/>
        <v>343.5</v>
      </c>
      <c r="AI297">
        <f t="shared" si="28"/>
        <v>473.9</v>
      </c>
      <c r="AJ297">
        <f t="shared" si="29"/>
        <v>1045.4000000000001</v>
      </c>
    </row>
    <row r="298" spans="1:36" x14ac:dyDescent="0.3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 s="1">
        <f t="shared" si="24"/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  <c r="AF298">
        <f t="shared" si="25"/>
        <v>2064.1</v>
      </c>
      <c r="AG298">
        <f t="shared" si="26"/>
        <v>464.6</v>
      </c>
      <c r="AH298">
        <f t="shared" si="27"/>
        <v>342</v>
      </c>
      <c r="AI298">
        <f t="shared" si="28"/>
        <v>477.3</v>
      </c>
      <c r="AJ298">
        <f t="shared" si="29"/>
        <v>1072.8000000000002</v>
      </c>
    </row>
    <row r="299" spans="1:36" hidden="1" x14ac:dyDescent="0.3">
      <c r="A299" t="s">
        <v>30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V299" s="1">
        <f t="shared" si="24"/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  <c r="AF299">
        <f t="shared" si="25"/>
        <v>2095.2999999999997</v>
      </c>
      <c r="AG299">
        <f t="shared" si="26"/>
        <v>490.4</v>
      </c>
      <c r="AH299">
        <f t="shared" si="27"/>
        <v>349.6</v>
      </c>
      <c r="AI299">
        <f t="shared" si="28"/>
        <v>490.9</v>
      </c>
      <c r="AJ299">
        <f t="shared" si="29"/>
        <v>1122.8</v>
      </c>
    </row>
    <row r="300" spans="1:36" hidden="1" x14ac:dyDescent="0.3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 s="1">
        <f t="shared" si="24"/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  <c r="AF300">
        <f t="shared" si="25"/>
        <v>2124.7000000000003</v>
      </c>
      <c r="AG300">
        <f t="shared" si="26"/>
        <v>450.79999999999995</v>
      </c>
      <c r="AH300">
        <f t="shared" si="27"/>
        <v>350.79999999999995</v>
      </c>
      <c r="AI300">
        <f t="shared" si="28"/>
        <v>473.70000000000005</v>
      </c>
      <c r="AJ300">
        <f t="shared" si="29"/>
        <v>1055.7</v>
      </c>
    </row>
    <row r="301" spans="1:36" x14ac:dyDescent="0.3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 s="1">
        <f t="shared" si="24"/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  <c r="AF301">
        <f t="shared" si="25"/>
        <v>2105.7000000000003</v>
      </c>
      <c r="AG301">
        <f t="shared" si="26"/>
        <v>474.29999999999995</v>
      </c>
      <c r="AH301">
        <f t="shared" si="27"/>
        <v>347.70000000000005</v>
      </c>
      <c r="AI301">
        <f t="shared" si="28"/>
        <v>482.2</v>
      </c>
      <c r="AJ301">
        <f t="shared" si="29"/>
        <v>1093.3</v>
      </c>
    </row>
    <row r="302" spans="1:36" hidden="1" x14ac:dyDescent="0.3">
      <c r="A302" t="s">
        <v>30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V302" s="1">
        <f t="shared" si="24"/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  <c r="AF302">
        <f t="shared" si="25"/>
        <v>2122.6</v>
      </c>
      <c r="AG302">
        <f t="shared" si="26"/>
        <v>489.80000000000007</v>
      </c>
      <c r="AH302">
        <f t="shared" si="27"/>
        <v>349.5</v>
      </c>
      <c r="AI302">
        <f t="shared" si="28"/>
        <v>489.40000000000003</v>
      </c>
      <c r="AJ302">
        <f t="shared" si="29"/>
        <v>1124.0999999999999</v>
      </c>
    </row>
    <row r="303" spans="1:36" hidden="1" x14ac:dyDescent="0.3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 s="1">
        <f t="shared" si="24"/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  <c r="AF303">
        <f t="shared" si="25"/>
        <v>2154.1999999999998</v>
      </c>
      <c r="AG303">
        <f t="shared" si="26"/>
        <v>452.6</v>
      </c>
      <c r="AH303">
        <f t="shared" si="27"/>
        <v>346.29999999999995</v>
      </c>
      <c r="AI303">
        <f t="shared" si="28"/>
        <v>474.70000000000005</v>
      </c>
      <c r="AJ303">
        <f t="shared" si="29"/>
        <v>1061.3000000000002</v>
      </c>
    </row>
    <row r="304" spans="1:36" x14ac:dyDescent="0.3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 s="1">
        <f t="shared" si="24"/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  <c r="AF304">
        <f t="shared" si="25"/>
        <v>2133.9</v>
      </c>
      <c r="AG304">
        <f t="shared" si="26"/>
        <v>474.7</v>
      </c>
      <c r="AH304">
        <f t="shared" si="27"/>
        <v>345.70000000000005</v>
      </c>
      <c r="AI304">
        <f t="shared" si="28"/>
        <v>482</v>
      </c>
      <c r="AJ304">
        <f t="shared" si="29"/>
        <v>1096.5999999999999</v>
      </c>
    </row>
    <row r="305" spans="1:36" hidden="1" x14ac:dyDescent="0.3">
      <c r="A305" t="s">
        <v>30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V305" s="1">
        <f t="shared" si="24"/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  <c r="AF305">
        <f t="shared" si="25"/>
        <v>2132.4</v>
      </c>
      <c r="AG305">
        <f t="shared" si="26"/>
        <v>492.40000000000003</v>
      </c>
      <c r="AH305">
        <f t="shared" si="27"/>
        <v>350.4</v>
      </c>
      <c r="AI305">
        <f t="shared" si="28"/>
        <v>491.2</v>
      </c>
      <c r="AJ305">
        <f t="shared" si="29"/>
        <v>1133</v>
      </c>
    </row>
    <row r="306" spans="1:36" hidden="1" x14ac:dyDescent="0.3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 s="1">
        <f t="shared" si="24"/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  <c r="AF306">
        <f t="shared" si="25"/>
        <v>2171.8000000000002</v>
      </c>
      <c r="AG306">
        <f t="shared" si="26"/>
        <v>455.3</v>
      </c>
      <c r="AH306">
        <f t="shared" si="27"/>
        <v>346.7</v>
      </c>
      <c r="AI306">
        <f t="shared" si="28"/>
        <v>479.5</v>
      </c>
      <c r="AJ306">
        <f t="shared" si="29"/>
        <v>1070.0999999999999</v>
      </c>
    </row>
    <row r="307" spans="1:36" x14ac:dyDescent="0.3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 s="1">
        <f t="shared" si="24"/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  <c r="AF307">
        <f t="shared" si="25"/>
        <v>2147</v>
      </c>
      <c r="AG307">
        <f t="shared" si="26"/>
        <v>477.29999999999995</v>
      </c>
      <c r="AH307">
        <f t="shared" si="27"/>
        <v>346.5</v>
      </c>
      <c r="AI307">
        <f t="shared" si="28"/>
        <v>485.4</v>
      </c>
      <c r="AJ307">
        <f t="shared" si="29"/>
        <v>1105.3</v>
      </c>
    </row>
    <row r="308" spans="1:36" hidden="1" x14ac:dyDescent="0.3">
      <c r="A308" t="s">
        <v>30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V308" s="1">
        <f t="shared" si="24"/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  <c r="AF308">
        <f t="shared" si="25"/>
        <v>2130.8000000000002</v>
      </c>
      <c r="AG308">
        <f t="shared" si="26"/>
        <v>495.90000000000003</v>
      </c>
      <c r="AH308">
        <f t="shared" si="27"/>
        <v>351.29999999999995</v>
      </c>
      <c r="AI308">
        <f t="shared" si="28"/>
        <v>492.7</v>
      </c>
      <c r="AJ308">
        <f t="shared" si="29"/>
        <v>1138.0999999999999</v>
      </c>
    </row>
    <row r="309" spans="1:36" hidden="1" x14ac:dyDescent="0.3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 s="1">
        <f t="shared" si="24"/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  <c r="AF309">
        <f t="shared" si="25"/>
        <v>2157.9</v>
      </c>
      <c r="AG309">
        <f t="shared" si="26"/>
        <v>460.7</v>
      </c>
      <c r="AH309">
        <f t="shared" si="27"/>
        <v>350.2</v>
      </c>
      <c r="AI309">
        <f t="shared" si="28"/>
        <v>483.19999999999993</v>
      </c>
      <c r="AJ309">
        <f t="shared" si="29"/>
        <v>1079.9000000000001</v>
      </c>
    </row>
    <row r="310" spans="1:36" x14ac:dyDescent="0.3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 s="1">
        <f t="shared" si="24"/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  <c r="AF310">
        <f t="shared" si="25"/>
        <v>2142</v>
      </c>
      <c r="AG310">
        <f t="shared" si="26"/>
        <v>483</v>
      </c>
      <c r="AH310">
        <f t="shared" si="27"/>
        <v>349.7</v>
      </c>
      <c r="AI310">
        <f t="shared" si="28"/>
        <v>488.5</v>
      </c>
      <c r="AJ310">
        <f t="shared" si="29"/>
        <v>1114.5</v>
      </c>
    </row>
    <row r="311" spans="1:36" hidden="1" x14ac:dyDescent="0.3">
      <c r="A311" t="s">
        <v>30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V311" s="1">
        <f t="shared" si="24"/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  <c r="AF311">
        <f t="shared" si="25"/>
        <v>2133.6</v>
      </c>
      <c r="AG311">
        <f t="shared" si="26"/>
        <v>498.4</v>
      </c>
      <c r="AH311">
        <f t="shared" si="27"/>
        <v>353.2</v>
      </c>
      <c r="AI311">
        <f t="shared" si="28"/>
        <v>494.29999999999995</v>
      </c>
      <c r="AJ311">
        <f t="shared" si="29"/>
        <v>1141.5</v>
      </c>
    </row>
    <row r="312" spans="1:36" hidden="1" x14ac:dyDescent="0.3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 s="1">
        <f t="shared" si="24"/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  <c r="AF312">
        <f t="shared" si="25"/>
        <v>2157.9</v>
      </c>
      <c r="AG312">
        <f t="shared" si="26"/>
        <v>460.79999999999995</v>
      </c>
      <c r="AH312">
        <f t="shared" si="27"/>
        <v>350.4</v>
      </c>
      <c r="AI312">
        <f t="shared" si="28"/>
        <v>483.2</v>
      </c>
      <c r="AJ312">
        <f t="shared" si="29"/>
        <v>1080.1999999999998</v>
      </c>
    </row>
    <row r="313" spans="1:36" x14ac:dyDescent="0.3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 s="1">
        <f t="shared" si="24"/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  <c r="AF313">
        <f t="shared" si="25"/>
        <v>2142</v>
      </c>
      <c r="AG313">
        <f t="shared" si="26"/>
        <v>483.2</v>
      </c>
      <c r="AH313">
        <f t="shared" si="27"/>
        <v>349.79999999999995</v>
      </c>
      <c r="AI313">
        <f t="shared" si="28"/>
        <v>488.4</v>
      </c>
      <c r="AJ313">
        <f t="shared" si="29"/>
        <v>1114.7</v>
      </c>
    </row>
    <row r="314" spans="1:36" hidden="1" x14ac:dyDescent="0.3">
      <c r="A314" t="s">
        <v>30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V314" s="1">
        <f t="shared" si="24"/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  <c r="AF314">
        <f t="shared" si="25"/>
        <v>2164.1999999999998</v>
      </c>
      <c r="AG314">
        <f t="shared" si="26"/>
        <v>502.00000000000006</v>
      </c>
      <c r="AH314">
        <f t="shared" si="27"/>
        <v>354.4</v>
      </c>
      <c r="AI314">
        <f t="shared" si="28"/>
        <v>498.1</v>
      </c>
      <c r="AJ314">
        <f t="shared" si="29"/>
        <v>1149.3</v>
      </c>
    </row>
    <row r="315" spans="1:36" hidden="1" x14ac:dyDescent="0.3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 s="1">
        <f t="shared" si="24"/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  <c r="AF315">
        <f t="shared" si="25"/>
        <v>2198.4000000000005</v>
      </c>
      <c r="AG315">
        <f t="shared" si="26"/>
        <v>463.50000000000006</v>
      </c>
      <c r="AH315">
        <f t="shared" si="27"/>
        <v>352.1</v>
      </c>
      <c r="AI315">
        <f t="shared" si="28"/>
        <v>486.09999999999997</v>
      </c>
      <c r="AJ315">
        <f t="shared" si="29"/>
        <v>1087.3</v>
      </c>
    </row>
    <row r="316" spans="1:36" x14ac:dyDescent="0.3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 s="1">
        <f t="shared" si="24"/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  <c r="AF316">
        <f t="shared" si="25"/>
        <v>2175.5</v>
      </c>
      <c r="AG316">
        <f t="shared" si="26"/>
        <v>486.3</v>
      </c>
      <c r="AH316">
        <f t="shared" si="27"/>
        <v>351.29999999999995</v>
      </c>
      <c r="AI316">
        <f t="shared" si="28"/>
        <v>491.69999999999993</v>
      </c>
      <c r="AJ316">
        <f t="shared" si="29"/>
        <v>1122.2</v>
      </c>
    </row>
    <row r="317" spans="1:36" hidden="1" x14ac:dyDescent="0.3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V317" s="1">
        <f t="shared" si="24"/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  <c r="AF317">
        <f t="shared" si="25"/>
        <v>2182</v>
      </c>
      <c r="AG317">
        <f t="shared" si="26"/>
        <v>506.2</v>
      </c>
      <c r="AH317">
        <f t="shared" si="27"/>
        <v>355.20000000000005</v>
      </c>
      <c r="AI317">
        <f t="shared" si="28"/>
        <v>498.8</v>
      </c>
      <c r="AJ317">
        <f t="shared" si="29"/>
        <v>1155.5999999999999</v>
      </c>
    </row>
    <row r="318" spans="1:36" hidden="1" x14ac:dyDescent="0.3">
      <c r="A318" t="s">
        <v>32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 s="1">
        <f t="shared" si="24"/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  <c r="AF318">
        <f t="shared" si="25"/>
        <v>2217.8999999999996</v>
      </c>
      <c r="AG318">
        <f t="shared" si="26"/>
        <v>467.3</v>
      </c>
      <c r="AH318">
        <f t="shared" si="27"/>
        <v>353.7</v>
      </c>
      <c r="AI318">
        <f t="shared" si="28"/>
        <v>486.59999999999997</v>
      </c>
      <c r="AJ318">
        <f t="shared" si="29"/>
        <v>1092.8</v>
      </c>
    </row>
    <row r="319" spans="1:36" x14ac:dyDescent="0.3">
      <c r="A319" t="s">
        <v>33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 s="1">
        <f t="shared" si="24"/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  <c r="AF319">
        <f t="shared" si="25"/>
        <v>2194.1</v>
      </c>
      <c r="AG319">
        <f t="shared" si="26"/>
        <v>490.40000000000003</v>
      </c>
      <c r="AH319">
        <f t="shared" si="27"/>
        <v>352.70000000000005</v>
      </c>
      <c r="AI319">
        <f t="shared" si="28"/>
        <v>492.40000000000003</v>
      </c>
      <c r="AJ319">
        <f t="shared" si="29"/>
        <v>1128.1000000000001</v>
      </c>
    </row>
    <row r="320" spans="1:36" hidden="1" x14ac:dyDescent="0.3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V320" s="1">
        <f t="shared" si="24"/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  <c r="AF320">
        <f t="shared" si="25"/>
        <v>2168.1999999999998</v>
      </c>
      <c r="AG320">
        <f t="shared" si="26"/>
        <v>510.3</v>
      </c>
      <c r="AH320">
        <f t="shared" si="27"/>
        <v>355.3</v>
      </c>
      <c r="AI320">
        <f t="shared" si="28"/>
        <v>498.7</v>
      </c>
      <c r="AJ320">
        <f t="shared" si="29"/>
        <v>1163.1000000000001</v>
      </c>
    </row>
    <row r="321" spans="1:36" hidden="1" x14ac:dyDescent="0.3">
      <c r="A321" t="s">
        <v>32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 s="1">
        <f t="shared" si="24"/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  <c r="AF321">
        <f t="shared" si="25"/>
        <v>2206.3000000000002</v>
      </c>
      <c r="AG321">
        <f t="shared" si="26"/>
        <v>470.7</v>
      </c>
      <c r="AH321">
        <f t="shared" si="27"/>
        <v>354.4</v>
      </c>
      <c r="AI321">
        <f t="shared" si="28"/>
        <v>485.70000000000005</v>
      </c>
      <c r="AJ321">
        <f t="shared" si="29"/>
        <v>1098.7</v>
      </c>
    </row>
    <row r="322" spans="1:36" x14ac:dyDescent="0.3">
      <c r="A322" t="s">
        <v>33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 s="1">
        <f t="shared" ref="V322:V373" si="38">IF(ISBLANK(U322), U323, U322)</f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  <c r="AF322">
        <f t="shared" ref="AF322:AF373" si="39">SUM(D322:P322)</f>
        <v>2180.9</v>
      </c>
      <c r="AG322">
        <f t="shared" ref="AG322:AG373" si="40">SUM(R322:T322)</f>
        <v>494.2</v>
      </c>
      <c r="AH322">
        <f t="shared" ref="AH322:AH373" si="41">SUM(Q322,AA322)</f>
        <v>353</v>
      </c>
      <c r="AI322">
        <f t="shared" ref="AI322:AI373" si="42">SUM(V322,W322,AB322)</f>
        <v>491.9</v>
      </c>
      <c r="AJ322">
        <f t="shared" ref="AJ322:AJ373" si="43">SUM(R322,S322,T322,X322,Z322,AC322,AD322)</f>
        <v>1134.6999999999998</v>
      </c>
    </row>
    <row r="323" spans="1:36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V323" s="1">
        <f t="shared" si="38"/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  <c r="AF323">
        <f t="shared" si="39"/>
        <v>2153</v>
      </c>
      <c r="AG323">
        <f t="shared" si="40"/>
        <v>515.20000000000005</v>
      </c>
      <c r="AH323">
        <f t="shared" si="41"/>
        <v>355.6</v>
      </c>
      <c r="AI323">
        <f t="shared" si="42"/>
        <v>500.20000000000005</v>
      </c>
      <c r="AJ323">
        <f t="shared" si="43"/>
        <v>1170.7</v>
      </c>
    </row>
    <row r="324" spans="1:36" hidden="1" x14ac:dyDescent="0.3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 s="1">
        <f t="shared" si="38"/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  <c r="AF324">
        <f t="shared" si="39"/>
        <v>2186.6999999999998</v>
      </c>
      <c r="AG324">
        <f t="shared" si="40"/>
        <v>475.4</v>
      </c>
      <c r="AH324">
        <f t="shared" si="41"/>
        <v>354.8</v>
      </c>
      <c r="AI324">
        <f t="shared" si="42"/>
        <v>487.1</v>
      </c>
      <c r="AJ324">
        <f t="shared" si="43"/>
        <v>1106.3</v>
      </c>
    </row>
    <row r="325" spans="1:36" x14ac:dyDescent="0.3">
      <c r="A325" t="s">
        <v>33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 s="1">
        <f t="shared" si="38"/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  <c r="AF325">
        <f t="shared" si="39"/>
        <v>2164.1999999999998</v>
      </c>
      <c r="AG325">
        <f t="shared" si="40"/>
        <v>499.1</v>
      </c>
      <c r="AH325">
        <f t="shared" si="41"/>
        <v>353.4</v>
      </c>
      <c r="AI325">
        <f t="shared" si="42"/>
        <v>493.4</v>
      </c>
      <c r="AJ325">
        <f t="shared" si="43"/>
        <v>1142.4000000000001</v>
      </c>
    </row>
    <row r="326" spans="1:36" hidden="1" x14ac:dyDescent="0.3">
      <c r="A326" t="s">
        <v>30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V326" s="1">
        <f t="shared" si="38"/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  <c r="AF326">
        <f t="shared" si="39"/>
        <v>2150.4</v>
      </c>
      <c r="AG326">
        <f t="shared" si="40"/>
        <v>518.79999999999995</v>
      </c>
      <c r="AH326">
        <f t="shared" si="41"/>
        <v>357</v>
      </c>
      <c r="AI326">
        <f t="shared" si="42"/>
        <v>503.2</v>
      </c>
      <c r="AJ326">
        <f t="shared" si="43"/>
        <v>1177.5</v>
      </c>
    </row>
    <row r="327" spans="1:36" hidden="1" x14ac:dyDescent="0.3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 s="1">
        <f t="shared" si="38"/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  <c r="AF327">
        <f t="shared" si="39"/>
        <v>2183.5</v>
      </c>
      <c r="AG327">
        <f t="shared" si="40"/>
        <v>479.5</v>
      </c>
      <c r="AH327">
        <f t="shared" si="41"/>
        <v>356</v>
      </c>
      <c r="AI327">
        <f t="shared" si="42"/>
        <v>490.5</v>
      </c>
      <c r="AJ327">
        <f t="shared" si="43"/>
        <v>1113.6000000000001</v>
      </c>
    </row>
    <row r="328" spans="1:36" x14ac:dyDescent="0.3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 s="1">
        <f t="shared" si="38"/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  <c r="AF328">
        <f t="shared" si="39"/>
        <v>2161.2000000000003</v>
      </c>
      <c r="AG328">
        <f t="shared" si="40"/>
        <v>502.80000000000007</v>
      </c>
      <c r="AH328">
        <f t="shared" si="41"/>
        <v>354.9</v>
      </c>
      <c r="AI328">
        <f t="shared" si="42"/>
        <v>496.6</v>
      </c>
      <c r="AJ328">
        <f t="shared" si="43"/>
        <v>1149.4000000000001</v>
      </c>
    </row>
    <row r="329" spans="1:36" hidden="1" x14ac:dyDescent="0.3">
      <c r="A329" t="s">
        <v>30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V329" s="1">
        <f t="shared" si="38"/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  <c r="AF329">
        <f t="shared" si="39"/>
        <v>2179.1000000000004</v>
      </c>
      <c r="AG329">
        <f t="shared" si="40"/>
        <v>523.70000000000005</v>
      </c>
      <c r="AH329">
        <f t="shared" si="41"/>
        <v>358.9</v>
      </c>
      <c r="AI329">
        <f t="shared" si="42"/>
        <v>504.80000000000007</v>
      </c>
      <c r="AJ329">
        <f t="shared" si="43"/>
        <v>1187.9000000000001</v>
      </c>
    </row>
    <row r="330" spans="1:36" hidden="1" x14ac:dyDescent="0.3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 s="1">
        <f t="shared" si="38"/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  <c r="AF330">
        <f t="shared" si="39"/>
        <v>2196.3000000000002</v>
      </c>
      <c r="AG330">
        <f t="shared" si="40"/>
        <v>484.6</v>
      </c>
      <c r="AH330">
        <f t="shared" si="41"/>
        <v>358.3</v>
      </c>
      <c r="AI330">
        <f t="shared" si="42"/>
        <v>492.5</v>
      </c>
      <c r="AJ330">
        <f t="shared" si="43"/>
        <v>1124.8</v>
      </c>
    </row>
    <row r="331" spans="1:36" x14ac:dyDescent="0.3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 s="1">
        <f t="shared" si="38"/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  <c r="AF331">
        <f t="shared" si="39"/>
        <v>2184.2000000000003</v>
      </c>
      <c r="AG331">
        <f t="shared" si="40"/>
        <v>507.79999999999995</v>
      </c>
      <c r="AH331">
        <f t="shared" si="41"/>
        <v>357</v>
      </c>
      <c r="AI331">
        <f t="shared" si="42"/>
        <v>498.5</v>
      </c>
      <c r="AJ331">
        <f t="shared" si="43"/>
        <v>1160.2999999999997</v>
      </c>
    </row>
    <row r="332" spans="1:36" hidden="1" x14ac:dyDescent="0.3">
      <c r="A332" t="s">
        <v>30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V332" s="1">
        <f t="shared" si="38"/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  <c r="AF332">
        <f t="shared" si="39"/>
        <v>2206.6</v>
      </c>
      <c r="AG332">
        <f t="shared" si="40"/>
        <v>529.70000000000005</v>
      </c>
      <c r="AH332">
        <f t="shared" si="41"/>
        <v>360</v>
      </c>
      <c r="AI332">
        <f t="shared" si="42"/>
        <v>511.20000000000005</v>
      </c>
      <c r="AJ332">
        <f t="shared" si="43"/>
        <v>1202.8000000000002</v>
      </c>
    </row>
    <row r="333" spans="1:36" hidden="1" x14ac:dyDescent="0.3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 s="1">
        <f t="shared" si="38"/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  <c r="AF333">
        <f t="shared" si="39"/>
        <v>2230.4</v>
      </c>
      <c r="AG333">
        <f t="shared" si="40"/>
        <v>489.2</v>
      </c>
      <c r="AH333">
        <f t="shared" si="41"/>
        <v>359.29999999999995</v>
      </c>
      <c r="AI333">
        <f t="shared" si="42"/>
        <v>501.5</v>
      </c>
      <c r="AJ333">
        <f t="shared" si="43"/>
        <v>1139.8</v>
      </c>
    </row>
    <row r="334" spans="1:36" x14ac:dyDescent="0.3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 s="1">
        <f t="shared" si="38"/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  <c r="AF334">
        <f t="shared" si="39"/>
        <v>2214.3000000000002</v>
      </c>
      <c r="AG334">
        <f t="shared" si="40"/>
        <v>513.20000000000005</v>
      </c>
      <c r="AH334">
        <f t="shared" si="41"/>
        <v>358.3</v>
      </c>
      <c r="AI334">
        <f t="shared" si="42"/>
        <v>506.1</v>
      </c>
      <c r="AJ334">
        <f t="shared" si="43"/>
        <v>1175.4000000000001</v>
      </c>
    </row>
    <row r="335" spans="1:36" hidden="1" x14ac:dyDescent="0.3">
      <c r="A335" t="s">
        <v>30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V335" s="1">
        <f t="shared" si="38"/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  <c r="AF335">
        <f t="shared" si="39"/>
        <v>2226.8000000000002</v>
      </c>
      <c r="AG335">
        <f t="shared" si="40"/>
        <v>535.5</v>
      </c>
      <c r="AH335">
        <f t="shared" si="41"/>
        <v>360.5</v>
      </c>
      <c r="AI335">
        <f t="shared" si="42"/>
        <v>514.6</v>
      </c>
      <c r="AJ335">
        <f t="shared" si="43"/>
        <v>1210.9000000000001</v>
      </c>
    </row>
    <row r="336" spans="1:36" hidden="1" x14ac:dyDescent="0.3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 s="1">
        <f t="shared" si="38"/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  <c r="AF336">
        <f t="shared" si="39"/>
        <v>2262.2000000000003</v>
      </c>
      <c r="AG336">
        <f t="shared" si="40"/>
        <v>493.7</v>
      </c>
      <c r="AH336">
        <f t="shared" si="41"/>
        <v>360.7</v>
      </c>
      <c r="AI336">
        <f t="shared" si="42"/>
        <v>506.2</v>
      </c>
      <c r="AJ336">
        <f t="shared" si="43"/>
        <v>1146.1999999999998</v>
      </c>
    </row>
    <row r="337" spans="1:36" x14ac:dyDescent="0.3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 s="1">
        <f t="shared" si="38"/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  <c r="AF337">
        <f t="shared" si="39"/>
        <v>2238.9000000000005</v>
      </c>
      <c r="AG337">
        <f t="shared" si="40"/>
        <v>518.6</v>
      </c>
      <c r="AH337">
        <f t="shared" si="41"/>
        <v>359.2</v>
      </c>
      <c r="AI337">
        <f t="shared" si="42"/>
        <v>510</v>
      </c>
      <c r="AJ337">
        <f t="shared" si="43"/>
        <v>1182.6999999999998</v>
      </c>
    </row>
    <row r="338" spans="1:36" hidden="1" x14ac:dyDescent="0.3">
      <c r="A338" t="s">
        <v>30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V338" s="1">
        <f t="shared" si="38"/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  <c r="AF338">
        <f t="shared" si="39"/>
        <v>2248.3000000000002</v>
      </c>
      <c r="AG338">
        <f t="shared" si="40"/>
        <v>539.79999999999995</v>
      </c>
      <c r="AH338">
        <f t="shared" si="41"/>
        <v>360.9</v>
      </c>
      <c r="AI338">
        <f t="shared" si="42"/>
        <v>516.1</v>
      </c>
      <c r="AJ338">
        <f t="shared" si="43"/>
        <v>1216.0999999999999</v>
      </c>
    </row>
    <row r="339" spans="1:36" hidden="1" x14ac:dyDescent="0.3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 s="1">
        <f t="shared" si="38"/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  <c r="AF339">
        <f t="shared" si="39"/>
        <v>2287.5</v>
      </c>
      <c r="AG339">
        <f t="shared" si="40"/>
        <v>498.4</v>
      </c>
      <c r="AH339">
        <f t="shared" si="41"/>
        <v>362.4</v>
      </c>
      <c r="AI339">
        <f t="shared" si="42"/>
        <v>508.20000000000005</v>
      </c>
      <c r="AJ339">
        <f t="shared" si="43"/>
        <v>1150.7</v>
      </c>
    </row>
    <row r="340" spans="1:36" x14ac:dyDescent="0.3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 s="1">
        <f t="shared" si="38"/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  <c r="AF340">
        <f t="shared" si="39"/>
        <v>2261.9</v>
      </c>
      <c r="AG340">
        <f t="shared" si="40"/>
        <v>523</v>
      </c>
      <c r="AH340">
        <f t="shared" si="41"/>
        <v>360.1</v>
      </c>
      <c r="AI340">
        <f t="shared" si="42"/>
        <v>511.8</v>
      </c>
      <c r="AJ340">
        <f t="shared" si="43"/>
        <v>1187.4000000000001</v>
      </c>
    </row>
    <row r="341" spans="1:36" hidden="1" x14ac:dyDescent="0.3">
      <c r="A341" t="s">
        <v>30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V341" s="1">
        <f t="shared" si="38"/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  <c r="AF341">
        <f t="shared" si="39"/>
        <v>2252.5</v>
      </c>
      <c r="AG341">
        <f t="shared" si="40"/>
        <v>544</v>
      </c>
      <c r="AH341">
        <f t="shared" si="41"/>
        <v>361.79999999999995</v>
      </c>
      <c r="AI341">
        <f t="shared" si="42"/>
        <v>522.09999999999991</v>
      </c>
      <c r="AJ341">
        <f t="shared" si="43"/>
        <v>1223.0999999999999</v>
      </c>
    </row>
    <row r="342" spans="1:36" hidden="1" x14ac:dyDescent="0.3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 s="1">
        <f t="shared" si="38"/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  <c r="AF342">
        <f t="shared" si="39"/>
        <v>2291.6</v>
      </c>
      <c r="AG342">
        <f t="shared" si="40"/>
        <v>502</v>
      </c>
      <c r="AH342">
        <f t="shared" si="41"/>
        <v>363.2</v>
      </c>
      <c r="AI342">
        <f t="shared" si="42"/>
        <v>516.4</v>
      </c>
      <c r="AJ342">
        <f t="shared" si="43"/>
        <v>1157</v>
      </c>
    </row>
    <row r="343" spans="1:36" x14ac:dyDescent="0.3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 s="1">
        <f t="shared" si="38"/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  <c r="AF343">
        <f t="shared" si="39"/>
        <v>2266.3000000000002</v>
      </c>
      <c r="AG343">
        <f t="shared" si="40"/>
        <v>526.90000000000009</v>
      </c>
      <c r="AH343">
        <f t="shared" si="41"/>
        <v>360.9</v>
      </c>
      <c r="AI343">
        <f t="shared" si="42"/>
        <v>518.79999999999995</v>
      </c>
      <c r="AJ343">
        <f t="shared" si="43"/>
        <v>1194.0000000000002</v>
      </c>
    </row>
    <row r="344" spans="1:36" hidden="1" x14ac:dyDescent="0.3">
      <c r="A344" t="s">
        <v>30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V344" s="1">
        <f t="shared" si="38"/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  <c r="AF344">
        <f t="shared" si="39"/>
        <v>2255.7999999999997</v>
      </c>
      <c r="AG344">
        <f t="shared" si="40"/>
        <v>547.9</v>
      </c>
      <c r="AH344">
        <f t="shared" si="41"/>
        <v>363</v>
      </c>
      <c r="AI344">
        <f t="shared" si="42"/>
        <v>523.79999999999995</v>
      </c>
      <c r="AJ344">
        <f t="shared" si="43"/>
        <v>1230.5</v>
      </c>
    </row>
    <row r="345" spans="1:36" hidden="1" x14ac:dyDescent="0.3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 s="1">
        <f t="shared" si="38"/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  <c r="AF345">
        <f t="shared" si="39"/>
        <v>2293.6999999999998</v>
      </c>
      <c r="AG345">
        <f t="shared" si="40"/>
        <v>505.29999999999995</v>
      </c>
      <c r="AH345">
        <f t="shared" si="41"/>
        <v>363.79999999999995</v>
      </c>
      <c r="AI345">
        <f t="shared" si="42"/>
        <v>517.29999999999995</v>
      </c>
      <c r="AJ345">
        <f t="shared" si="43"/>
        <v>1164</v>
      </c>
    </row>
    <row r="346" spans="1:36" x14ac:dyDescent="0.3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 s="1">
        <f t="shared" si="38"/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  <c r="AF346">
        <f t="shared" si="39"/>
        <v>2269.2000000000003</v>
      </c>
      <c r="AG346">
        <f t="shared" si="40"/>
        <v>530.70000000000005</v>
      </c>
      <c r="AH346">
        <f t="shared" si="41"/>
        <v>361.9</v>
      </c>
      <c r="AI346">
        <f t="shared" si="42"/>
        <v>520.1</v>
      </c>
      <c r="AJ346">
        <f t="shared" si="43"/>
        <v>1201.3999999999999</v>
      </c>
    </row>
    <row r="347" spans="1:36" hidden="1" x14ac:dyDescent="0.3">
      <c r="A347" t="s">
        <v>30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V347" s="1">
        <f t="shared" si="38"/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  <c r="AF347">
        <f t="shared" si="39"/>
        <v>2267.8000000000002</v>
      </c>
      <c r="AG347">
        <f t="shared" si="40"/>
        <v>552.5</v>
      </c>
      <c r="AH347">
        <f t="shared" si="41"/>
        <v>364.5</v>
      </c>
      <c r="AI347">
        <f t="shared" si="42"/>
        <v>525.4</v>
      </c>
      <c r="AJ347">
        <f t="shared" si="43"/>
        <v>1236.8999999999999</v>
      </c>
    </row>
    <row r="348" spans="1:36" hidden="1" x14ac:dyDescent="0.3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 s="1">
        <f t="shared" si="38"/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  <c r="AF348">
        <f t="shared" si="39"/>
        <v>2306.4</v>
      </c>
      <c r="AG348">
        <f t="shared" si="40"/>
        <v>509.7</v>
      </c>
      <c r="AH348">
        <f t="shared" si="41"/>
        <v>365.5</v>
      </c>
      <c r="AI348">
        <f t="shared" si="42"/>
        <v>519.6</v>
      </c>
      <c r="AJ348">
        <f t="shared" si="43"/>
        <v>1170.1000000000001</v>
      </c>
    </row>
    <row r="349" spans="1:36" x14ac:dyDescent="0.3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 s="1">
        <f t="shared" si="38"/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  <c r="AF349">
        <f t="shared" si="39"/>
        <v>2280.9</v>
      </c>
      <c r="AG349">
        <f t="shared" si="40"/>
        <v>535.1</v>
      </c>
      <c r="AH349">
        <f t="shared" si="41"/>
        <v>363.5</v>
      </c>
      <c r="AI349">
        <f t="shared" si="42"/>
        <v>522.1</v>
      </c>
      <c r="AJ349">
        <f t="shared" si="43"/>
        <v>1207.5000000000002</v>
      </c>
    </row>
    <row r="350" spans="1:36" hidden="1" x14ac:dyDescent="0.3">
      <c r="A350" t="s">
        <v>30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V350" s="1">
        <f t="shared" si="38"/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  <c r="AF350">
        <f t="shared" si="39"/>
        <v>2284.5</v>
      </c>
      <c r="AG350">
        <f t="shared" si="40"/>
        <v>556.4</v>
      </c>
      <c r="AH350">
        <f t="shared" si="41"/>
        <v>365.5</v>
      </c>
      <c r="AI350">
        <f t="shared" si="42"/>
        <v>528.5</v>
      </c>
      <c r="AJ350">
        <f t="shared" si="43"/>
        <v>1244.0999999999999</v>
      </c>
    </row>
    <row r="351" spans="1:36" hidden="1" x14ac:dyDescent="0.3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 s="1">
        <f t="shared" si="38"/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  <c r="AF351">
        <f t="shared" si="39"/>
        <v>2322.3000000000002</v>
      </c>
      <c r="AG351">
        <f t="shared" si="40"/>
        <v>511.70000000000005</v>
      </c>
      <c r="AH351">
        <f t="shared" si="41"/>
        <v>366.4</v>
      </c>
      <c r="AI351">
        <f t="shared" si="42"/>
        <v>522.4</v>
      </c>
      <c r="AJ351">
        <f t="shared" si="43"/>
        <v>1175.5999999999999</v>
      </c>
    </row>
    <row r="352" spans="1:36" x14ac:dyDescent="0.3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 s="1">
        <f t="shared" si="38"/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  <c r="AF352">
        <f t="shared" si="39"/>
        <v>2297.3000000000002</v>
      </c>
      <c r="AG352">
        <f t="shared" si="40"/>
        <v>538.20000000000005</v>
      </c>
      <c r="AH352">
        <f t="shared" si="41"/>
        <v>364.5</v>
      </c>
      <c r="AI352">
        <f t="shared" si="42"/>
        <v>525.1</v>
      </c>
      <c r="AJ352">
        <f t="shared" si="43"/>
        <v>1214.0999999999999</v>
      </c>
    </row>
    <row r="353" spans="1:36" hidden="1" x14ac:dyDescent="0.3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V353" s="1">
        <f t="shared" si="38"/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  <c r="AF353">
        <f t="shared" si="39"/>
        <v>2287.6999999999998</v>
      </c>
      <c r="AG353">
        <f t="shared" si="40"/>
        <v>559.29999999999995</v>
      </c>
      <c r="AH353">
        <f t="shared" si="41"/>
        <v>366.3</v>
      </c>
      <c r="AI353">
        <f t="shared" si="42"/>
        <v>530.6</v>
      </c>
      <c r="AJ353">
        <f t="shared" si="43"/>
        <v>1250.3</v>
      </c>
    </row>
    <row r="354" spans="1:36" hidden="1" x14ac:dyDescent="0.3">
      <c r="A354" t="s">
        <v>32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 s="1">
        <f t="shared" si="38"/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  <c r="AF354">
        <f t="shared" si="39"/>
        <v>2314.4</v>
      </c>
      <c r="AG354">
        <f t="shared" si="40"/>
        <v>514.9</v>
      </c>
      <c r="AH354">
        <f t="shared" si="41"/>
        <v>367.29999999999995</v>
      </c>
      <c r="AI354">
        <f t="shared" si="42"/>
        <v>523.6</v>
      </c>
      <c r="AJ354">
        <f t="shared" si="43"/>
        <v>1181.9000000000001</v>
      </c>
    </row>
    <row r="355" spans="1:36" x14ac:dyDescent="0.3">
      <c r="A355" t="s">
        <v>33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 s="1">
        <f t="shared" si="38"/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  <c r="AF355">
        <f t="shared" si="39"/>
        <v>2296.8000000000002</v>
      </c>
      <c r="AG355">
        <f t="shared" si="40"/>
        <v>541.4</v>
      </c>
      <c r="AH355">
        <f t="shared" si="41"/>
        <v>365.4</v>
      </c>
      <c r="AI355">
        <f t="shared" si="42"/>
        <v>526.79999999999995</v>
      </c>
      <c r="AJ355">
        <f t="shared" si="43"/>
        <v>1220.4999999999998</v>
      </c>
    </row>
    <row r="356" spans="1:36" hidden="1" x14ac:dyDescent="0.3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V356" s="1">
        <f t="shared" si="38"/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  <c r="AF356">
        <f t="shared" si="39"/>
        <v>2277.1</v>
      </c>
      <c r="AG356">
        <f t="shared" si="40"/>
        <v>561.79999999999995</v>
      </c>
      <c r="AH356">
        <f t="shared" si="41"/>
        <v>367.1</v>
      </c>
      <c r="AI356">
        <f t="shared" si="42"/>
        <v>530.79999999999995</v>
      </c>
      <c r="AJ356">
        <f t="shared" si="43"/>
        <v>1257.2</v>
      </c>
    </row>
    <row r="357" spans="1:36" hidden="1" x14ac:dyDescent="0.3">
      <c r="A357" t="s">
        <v>32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 s="1">
        <f t="shared" si="38"/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  <c r="AF357">
        <f t="shared" si="39"/>
        <v>2295.7999999999997</v>
      </c>
      <c r="AG357">
        <f t="shared" si="40"/>
        <v>517.9</v>
      </c>
      <c r="AH357">
        <f t="shared" si="41"/>
        <v>368.2</v>
      </c>
      <c r="AI357">
        <f t="shared" si="42"/>
        <v>523.09999999999991</v>
      </c>
      <c r="AJ357">
        <f t="shared" si="43"/>
        <v>1188.8</v>
      </c>
    </row>
    <row r="358" spans="1:36" x14ac:dyDescent="0.3">
      <c r="A358" t="s">
        <v>33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 s="1">
        <f t="shared" si="38"/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  <c r="AF358">
        <f t="shared" si="39"/>
        <v>2283.4</v>
      </c>
      <c r="AG358">
        <f t="shared" si="40"/>
        <v>544</v>
      </c>
      <c r="AH358">
        <f t="shared" si="41"/>
        <v>366.20000000000005</v>
      </c>
      <c r="AI358">
        <f t="shared" si="42"/>
        <v>526.79999999999995</v>
      </c>
      <c r="AJ358">
        <f t="shared" si="43"/>
        <v>1227.3</v>
      </c>
    </row>
    <row r="359" spans="1:36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V359" s="1">
        <f t="shared" si="38"/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  <c r="AF359">
        <f t="shared" si="39"/>
        <v>2283.2000000000003</v>
      </c>
      <c r="AG359">
        <f t="shared" si="40"/>
        <v>563.9</v>
      </c>
      <c r="AH359">
        <f t="shared" si="41"/>
        <v>368.70000000000005</v>
      </c>
      <c r="AI359">
        <f t="shared" si="42"/>
        <v>533.09999999999991</v>
      </c>
      <c r="AJ359">
        <f t="shared" si="43"/>
        <v>1264.2</v>
      </c>
    </row>
    <row r="360" spans="1:36" hidden="1" x14ac:dyDescent="0.3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 s="1">
        <f t="shared" si="38"/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  <c r="AF360">
        <f t="shared" si="39"/>
        <v>2310.2000000000003</v>
      </c>
      <c r="AG360">
        <f t="shared" si="40"/>
        <v>520.6</v>
      </c>
      <c r="AH360">
        <f t="shared" si="41"/>
        <v>369.4</v>
      </c>
      <c r="AI360">
        <f t="shared" si="42"/>
        <v>524</v>
      </c>
      <c r="AJ360">
        <f t="shared" si="43"/>
        <v>1195.8000000000002</v>
      </c>
    </row>
    <row r="361" spans="1:36" x14ac:dyDescent="0.3">
      <c r="A361" t="s">
        <v>33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 s="1">
        <f t="shared" si="38"/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  <c r="AF361">
        <f t="shared" si="39"/>
        <v>2292.6999999999998</v>
      </c>
      <c r="AG361">
        <f t="shared" si="40"/>
        <v>546.29999999999995</v>
      </c>
      <c r="AH361">
        <f t="shared" si="41"/>
        <v>367.7</v>
      </c>
      <c r="AI361">
        <f t="shared" si="42"/>
        <v>528.40000000000009</v>
      </c>
      <c r="AJ361">
        <f t="shared" si="43"/>
        <v>1234.1999999999998</v>
      </c>
    </row>
    <row r="362" spans="1:36" hidden="1" x14ac:dyDescent="0.3">
      <c r="A362" t="s">
        <v>30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V362" s="1">
        <f t="shared" si="38"/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  <c r="AF362">
        <f t="shared" si="39"/>
        <v>2265.6999999999998</v>
      </c>
      <c r="AG362">
        <f t="shared" si="40"/>
        <v>566.6</v>
      </c>
      <c r="AH362">
        <f t="shared" si="41"/>
        <v>371.1</v>
      </c>
      <c r="AI362">
        <f t="shared" si="42"/>
        <v>533.6</v>
      </c>
      <c r="AJ362">
        <f t="shared" si="43"/>
        <v>1272.8000000000002</v>
      </c>
    </row>
    <row r="363" spans="1:36" hidden="1" x14ac:dyDescent="0.3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 s="1">
        <f t="shared" si="38"/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  <c r="AF363">
        <f t="shared" si="39"/>
        <v>2303.1999999999998</v>
      </c>
      <c r="AG363">
        <f t="shared" si="40"/>
        <v>525.5</v>
      </c>
      <c r="AH363">
        <f t="shared" si="41"/>
        <v>371.1</v>
      </c>
      <c r="AI363">
        <f t="shared" si="42"/>
        <v>528.79999999999995</v>
      </c>
      <c r="AJ363">
        <f t="shared" si="43"/>
        <v>1205.9000000000001</v>
      </c>
    </row>
    <row r="364" spans="1:36" x14ac:dyDescent="0.3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 s="1">
        <f t="shared" si="38"/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  <c r="AF364">
        <f t="shared" si="39"/>
        <v>2279.1</v>
      </c>
      <c r="AG364">
        <f t="shared" si="40"/>
        <v>550</v>
      </c>
      <c r="AH364">
        <f t="shared" si="41"/>
        <v>369.8</v>
      </c>
      <c r="AI364">
        <f t="shared" si="42"/>
        <v>530.6</v>
      </c>
      <c r="AJ364">
        <f t="shared" si="43"/>
        <v>1243.5</v>
      </c>
    </row>
    <row r="365" spans="1:36" hidden="1" x14ac:dyDescent="0.3">
      <c r="A365" t="s">
        <v>30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V365" s="1">
        <f t="shared" si="38"/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  <c r="AF365">
        <f t="shared" si="39"/>
        <v>2265.8000000000002</v>
      </c>
      <c r="AG365">
        <f t="shared" si="40"/>
        <v>566.6</v>
      </c>
      <c r="AH365">
        <f t="shared" si="41"/>
        <v>371.20000000000005</v>
      </c>
      <c r="AI365">
        <f t="shared" si="42"/>
        <v>533.4</v>
      </c>
      <c r="AJ365">
        <f t="shared" si="43"/>
        <v>1272.8000000000002</v>
      </c>
    </row>
    <row r="366" spans="1:36" hidden="1" x14ac:dyDescent="0.3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 s="1">
        <f t="shared" si="38"/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  <c r="AF366">
        <f t="shared" si="39"/>
        <v>2303.4</v>
      </c>
      <c r="AG366">
        <f t="shared" si="40"/>
        <v>525.4</v>
      </c>
      <c r="AH366">
        <f t="shared" si="41"/>
        <v>371.1</v>
      </c>
      <c r="AI366">
        <f t="shared" si="42"/>
        <v>528.6</v>
      </c>
      <c r="AJ366">
        <f t="shared" si="43"/>
        <v>1205.8999999999999</v>
      </c>
    </row>
    <row r="367" spans="1:36" x14ac:dyDescent="0.3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 s="1">
        <f t="shared" si="38"/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  <c r="AF367">
        <f t="shared" si="39"/>
        <v>2279.1999999999998</v>
      </c>
      <c r="AG367">
        <f t="shared" si="40"/>
        <v>549.9</v>
      </c>
      <c r="AH367">
        <f t="shared" si="41"/>
        <v>369.8</v>
      </c>
      <c r="AI367">
        <f t="shared" si="42"/>
        <v>530.4</v>
      </c>
      <c r="AJ367">
        <f t="shared" si="43"/>
        <v>1243.3999999999999</v>
      </c>
    </row>
    <row r="368" spans="1:36" hidden="1" x14ac:dyDescent="0.3">
      <c r="A368" t="s">
        <v>30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V368" s="1">
        <f t="shared" si="38"/>
        <v>175.2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  <c r="AF368">
        <f t="shared" si="39"/>
        <v>2274.1999999999998</v>
      </c>
      <c r="AG368">
        <f t="shared" si="40"/>
        <v>568.20000000000005</v>
      </c>
      <c r="AH368">
        <f t="shared" si="41"/>
        <v>372.7</v>
      </c>
      <c r="AI368">
        <f t="shared" si="42"/>
        <v>536.1</v>
      </c>
      <c r="AJ368">
        <f t="shared" si="43"/>
        <v>1279.4000000000001</v>
      </c>
    </row>
    <row r="369" spans="1:36" hidden="1" x14ac:dyDescent="0.3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 s="1">
        <f t="shared" si="38"/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  <c r="AF369">
        <f t="shared" si="39"/>
        <v>2317.7000000000003</v>
      </c>
      <c r="AG369">
        <f t="shared" si="40"/>
        <v>527.6</v>
      </c>
      <c r="AH369">
        <f t="shared" si="41"/>
        <v>372.3</v>
      </c>
      <c r="AI369">
        <f t="shared" si="42"/>
        <v>531.5</v>
      </c>
      <c r="AJ369">
        <f t="shared" si="43"/>
        <v>1212.6000000000001</v>
      </c>
    </row>
    <row r="370" spans="1:36" x14ac:dyDescent="0.3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 s="1">
        <f t="shared" si="38"/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  <c r="AF370">
        <f t="shared" si="39"/>
        <v>2289.6000000000004</v>
      </c>
      <c r="AG370">
        <f t="shared" si="40"/>
        <v>551.79999999999995</v>
      </c>
      <c r="AH370">
        <f t="shared" si="41"/>
        <v>371.29999999999995</v>
      </c>
      <c r="AI370">
        <f t="shared" si="42"/>
        <v>533.29999999999995</v>
      </c>
      <c r="AJ370">
        <f t="shared" si="43"/>
        <v>1249.9000000000001</v>
      </c>
    </row>
    <row r="371" spans="1:36" hidden="1" x14ac:dyDescent="0.3">
      <c r="A371" t="s">
        <v>30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V371" s="1">
        <f t="shared" si="38"/>
        <v>175.6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  <c r="AF371">
        <f t="shared" si="39"/>
        <v>2290.7000000000007</v>
      </c>
      <c r="AG371">
        <f t="shared" si="40"/>
        <v>569.90000000000009</v>
      </c>
      <c r="AH371">
        <f t="shared" si="41"/>
        <v>373.70000000000005</v>
      </c>
      <c r="AI371">
        <f t="shared" si="42"/>
        <v>538.40000000000009</v>
      </c>
      <c r="AJ371">
        <f t="shared" si="43"/>
        <v>1283.8000000000002</v>
      </c>
    </row>
    <row r="372" spans="1:36" hidden="1" x14ac:dyDescent="0.3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 s="1">
        <f t="shared" si="38"/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  <c r="AF372">
        <f t="shared" si="39"/>
        <v>2335.1</v>
      </c>
      <c r="AG372">
        <f t="shared" si="40"/>
        <v>528.70000000000005</v>
      </c>
      <c r="AH372">
        <f t="shared" si="41"/>
        <v>373.4</v>
      </c>
      <c r="AI372">
        <f t="shared" si="42"/>
        <v>533.79999999999995</v>
      </c>
      <c r="AJ372">
        <f t="shared" si="43"/>
        <v>1216.3999999999999</v>
      </c>
    </row>
    <row r="373" spans="1:36" x14ac:dyDescent="0.3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 s="1">
        <f t="shared" si="38"/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  <c r="AF373">
        <f t="shared" si="39"/>
        <v>2306.9</v>
      </c>
      <c r="AG373">
        <f t="shared" si="40"/>
        <v>553.20000000000005</v>
      </c>
      <c r="AH373">
        <f t="shared" si="41"/>
        <v>372.2</v>
      </c>
      <c r="AI373">
        <f t="shared" si="42"/>
        <v>535.5</v>
      </c>
      <c r="AJ373">
        <f t="shared" si="43"/>
        <v>1254.1000000000001</v>
      </c>
    </row>
  </sheetData>
  <autoFilter ref="A1:AJ373" xr:uid="{48415111-FA63-4084-8F6C-FB94D1256537}">
    <filterColumn colId="0">
      <filters>
        <filter val="Rural+Urban"/>
      </filters>
    </filterColumn>
    <filterColumn colId="1">
      <filters>
        <filter val="2020"/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F8EC-1824-469F-B2A7-2A75CDBFF43C}">
  <dimension ref="A1:P373"/>
  <sheetViews>
    <sheetView showGridLines="0" topLeftCell="K1" workbookViewId="0">
      <selection activeCell="P53" sqref="P53"/>
    </sheetView>
  </sheetViews>
  <sheetFormatPr defaultRowHeight="14.4" x14ac:dyDescent="0.3"/>
  <cols>
    <col min="4" max="4" width="19.109375" bestFit="1" customWidth="1"/>
    <col min="6" max="6" width="28.33203125" customWidth="1"/>
    <col min="7" max="7" width="11.33203125" customWidth="1"/>
    <col min="9" max="9" width="12.5546875" bestFit="1" customWidth="1"/>
    <col min="10" max="10" width="14.77734375" customWidth="1"/>
    <col min="11" max="11" width="16.44140625" bestFit="1" customWidth="1"/>
    <col min="12" max="12" width="36.6640625" bestFit="1" customWidth="1"/>
    <col min="13" max="13" width="19.21875" bestFit="1" customWidth="1"/>
    <col min="14" max="15" width="16.109375" bestFit="1" customWidth="1"/>
  </cols>
  <sheetData>
    <row r="1" spans="1:15" x14ac:dyDescent="0.3">
      <c r="A1" s="11" t="s">
        <v>0</v>
      </c>
      <c r="B1" s="12" t="s">
        <v>1</v>
      </c>
      <c r="C1" s="12" t="s">
        <v>2</v>
      </c>
      <c r="D1" s="12" t="s">
        <v>49</v>
      </c>
      <c r="E1" s="12" t="s">
        <v>50</v>
      </c>
      <c r="F1" s="12" t="s">
        <v>24</v>
      </c>
      <c r="G1" s="12" t="s">
        <v>26</v>
      </c>
      <c r="H1" s="13" t="s">
        <v>23</v>
      </c>
      <c r="J1" s="2" t="s">
        <v>1</v>
      </c>
      <c r="K1" s="3">
        <v>2023</v>
      </c>
    </row>
    <row r="2" spans="1:15" x14ac:dyDescent="0.3">
      <c r="A2" s="14" t="s">
        <v>30</v>
      </c>
      <c r="B2" s="5">
        <v>2013</v>
      </c>
      <c r="C2" s="5" t="s">
        <v>31</v>
      </c>
      <c r="D2" s="5">
        <v>1371.6999999999998</v>
      </c>
      <c r="E2" s="5">
        <v>105.5</v>
      </c>
      <c r="F2" s="5">
        <v>103.3</v>
      </c>
      <c r="G2" s="5">
        <v>103.8</v>
      </c>
      <c r="H2" s="15">
        <v>104</v>
      </c>
      <c r="J2" s="2" t="s">
        <v>2</v>
      </c>
      <c r="K2" t="s">
        <v>37</v>
      </c>
    </row>
    <row r="3" spans="1:15" x14ac:dyDescent="0.3">
      <c r="A3" s="14" t="s">
        <v>32</v>
      </c>
      <c r="B3" s="5">
        <v>2013</v>
      </c>
      <c r="C3" s="5" t="s">
        <v>31</v>
      </c>
      <c r="D3" s="5">
        <v>1376.4</v>
      </c>
      <c r="E3" s="5">
        <v>105.4</v>
      </c>
      <c r="F3" s="5">
        <v>103.2</v>
      </c>
      <c r="G3" s="5">
        <v>103.5</v>
      </c>
      <c r="H3" s="15">
        <v>104.1</v>
      </c>
    </row>
    <row r="4" spans="1:15" x14ac:dyDescent="0.3">
      <c r="A4" s="14" t="s">
        <v>33</v>
      </c>
      <c r="B4" s="5">
        <v>2013</v>
      </c>
      <c r="C4" s="5" t="s">
        <v>31</v>
      </c>
      <c r="D4" s="5">
        <v>1373.3000000000002</v>
      </c>
      <c r="E4" s="5">
        <v>105.5</v>
      </c>
      <c r="F4" s="5">
        <v>103.2</v>
      </c>
      <c r="G4" s="5">
        <v>103.6</v>
      </c>
      <c r="H4" s="15">
        <v>104</v>
      </c>
      <c r="J4" s="2" t="s">
        <v>52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</row>
    <row r="5" spans="1:15" x14ac:dyDescent="0.3">
      <c r="A5" s="14" t="s">
        <v>30</v>
      </c>
      <c r="B5" s="5">
        <v>2013</v>
      </c>
      <c r="C5" s="5" t="s">
        <v>34</v>
      </c>
      <c r="D5" s="5">
        <v>1380.3999999999999</v>
      </c>
      <c r="E5" s="5">
        <v>106.2</v>
      </c>
      <c r="F5" s="5">
        <v>103.9</v>
      </c>
      <c r="G5" s="5">
        <v>104.1</v>
      </c>
      <c r="H5" s="15">
        <v>104.4</v>
      </c>
      <c r="J5" s="3" t="s">
        <v>30</v>
      </c>
      <c r="K5">
        <v>2290.7000000000007</v>
      </c>
      <c r="L5">
        <v>182.5</v>
      </c>
      <c r="M5">
        <v>169.7</v>
      </c>
      <c r="N5">
        <v>180.3</v>
      </c>
      <c r="O5">
        <v>187.8</v>
      </c>
    </row>
    <row r="6" spans="1:15" x14ac:dyDescent="0.3">
      <c r="A6" s="14" t="s">
        <v>32</v>
      </c>
      <c r="B6" s="5">
        <v>2013</v>
      </c>
      <c r="C6" s="5" t="s">
        <v>34</v>
      </c>
      <c r="D6" s="5">
        <v>1390.6000000000001</v>
      </c>
      <c r="E6" s="5">
        <v>105.7</v>
      </c>
      <c r="F6" s="5">
        <v>104.4</v>
      </c>
      <c r="G6" s="5">
        <v>103.7</v>
      </c>
      <c r="H6" s="15">
        <v>104.7</v>
      </c>
      <c r="J6" s="3" t="s">
        <v>33</v>
      </c>
      <c r="K6">
        <v>2306.9</v>
      </c>
      <c r="L6">
        <v>182.8</v>
      </c>
      <c r="M6">
        <v>164.8</v>
      </c>
      <c r="N6">
        <v>177.1</v>
      </c>
      <c r="O6">
        <v>185.7</v>
      </c>
    </row>
    <row r="7" spans="1:15" x14ac:dyDescent="0.3">
      <c r="A7" s="14" t="s">
        <v>33</v>
      </c>
      <c r="B7" s="5">
        <v>2013</v>
      </c>
      <c r="C7" s="5" t="s">
        <v>34</v>
      </c>
      <c r="D7" s="5">
        <v>1384.2</v>
      </c>
      <c r="E7" s="5">
        <v>106</v>
      </c>
      <c r="F7" s="5">
        <v>104.2</v>
      </c>
      <c r="G7" s="5">
        <v>103.9</v>
      </c>
      <c r="H7" s="15">
        <v>104.5</v>
      </c>
      <c r="J7" s="3" t="s">
        <v>32</v>
      </c>
      <c r="K7">
        <v>2335.1</v>
      </c>
      <c r="L7">
        <v>183.4</v>
      </c>
      <c r="M7">
        <v>160.4</v>
      </c>
      <c r="N7">
        <v>174.8</v>
      </c>
      <c r="O7">
        <v>182.2</v>
      </c>
    </row>
    <row r="8" spans="1:15" x14ac:dyDescent="0.3">
      <c r="A8" s="14" t="s">
        <v>30</v>
      </c>
      <c r="B8" s="5">
        <v>2013</v>
      </c>
      <c r="C8" s="5" t="s">
        <v>35</v>
      </c>
      <c r="D8" s="5">
        <v>1382.2</v>
      </c>
      <c r="E8" s="5">
        <v>106.1</v>
      </c>
      <c r="F8" s="5">
        <v>104.6</v>
      </c>
      <c r="G8" s="5">
        <v>104.3</v>
      </c>
      <c r="H8" s="15">
        <v>104.7</v>
      </c>
      <c r="J8" s="3" t="s">
        <v>53</v>
      </c>
      <c r="K8">
        <v>2310.9</v>
      </c>
      <c r="L8">
        <v>182.9</v>
      </c>
      <c r="M8">
        <v>164.96666666666667</v>
      </c>
      <c r="N8">
        <v>177.4</v>
      </c>
      <c r="O8">
        <v>185.23333333333335</v>
      </c>
    </row>
    <row r="9" spans="1:15" x14ac:dyDescent="0.3">
      <c r="A9" s="14" t="s">
        <v>32</v>
      </c>
      <c r="B9" s="5">
        <v>2013</v>
      </c>
      <c r="C9" s="5" t="s">
        <v>35</v>
      </c>
      <c r="D9" s="5">
        <v>1386.8</v>
      </c>
      <c r="E9" s="5">
        <v>106</v>
      </c>
      <c r="F9" s="5">
        <v>105.5</v>
      </c>
      <c r="G9" s="5">
        <v>103.8</v>
      </c>
      <c r="H9" s="15">
        <v>105.2</v>
      </c>
    </row>
    <row r="10" spans="1:15" x14ac:dyDescent="0.3">
      <c r="A10" s="14" t="s">
        <v>33</v>
      </c>
      <c r="B10" s="5">
        <v>2013</v>
      </c>
      <c r="C10" s="5" t="s">
        <v>35</v>
      </c>
      <c r="D10" s="5">
        <v>1384.0000000000002</v>
      </c>
      <c r="E10" s="5">
        <v>106.1</v>
      </c>
      <c r="F10" s="5">
        <v>105.1</v>
      </c>
      <c r="G10" s="5">
        <v>104</v>
      </c>
      <c r="H10" s="15">
        <v>104.9</v>
      </c>
      <c r="J10" s="19"/>
      <c r="K10" s="20" t="s">
        <v>92</v>
      </c>
      <c r="L10" s="20"/>
      <c r="M10" s="20"/>
    </row>
    <row r="11" spans="1:15" x14ac:dyDescent="0.3">
      <c r="A11" s="14" t="s">
        <v>30</v>
      </c>
      <c r="B11" s="5">
        <v>2013</v>
      </c>
      <c r="C11" s="5" t="s">
        <v>36</v>
      </c>
      <c r="D11" s="5">
        <v>1385.8</v>
      </c>
      <c r="E11" s="5">
        <v>106.5</v>
      </c>
      <c r="F11" s="5">
        <v>104.4</v>
      </c>
      <c r="G11" s="5">
        <v>104.8</v>
      </c>
      <c r="H11" s="15">
        <v>105.1</v>
      </c>
      <c r="J11" s="23" t="s">
        <v>59</v>
      </c>
      <c r="K11" s="22" t="s">
        <v>30</v>
      </c>
      <c r="L11" s="22" t="s">
        <v>33</v>
      </c>
      <c r="M11" s="22" t="s">
        <v>32</v>
      </c>
    </row>
    <row r="12" spans="1:15" x14ac:dyDescent="0.3">
      <c r="A12" s="14" t="s">
        <v>32</v>
      </c>
      <c r="B12" s="5">
        <v>2013</v>
      </c>
      <c r="C12" s="5" t="s">
        <v>36</v>
      </c>
      <c r="D12" s="5">
        <v>1397.6999999999998</v>
      </c>
      <c r="E12" s="5">
        <v>106.4</v>
      </c>
      <c r="F12" s="5">
        <v>105</v>
      </c>
      <c r="G12" s="5">
        <v>105.2</v>
      </c>
      <c r="H12" s="15">
        <v>105.7</v>
      </c>
      <c r="J12" s="23" t="s">
        <v>54</v>
      </c>
      <c r="K12" s="5">
        <v>2290.7000000000007</v>
      </c>
      <c r="L12" s="5">
        <v>2306.9</v>
      </c>
      <c r="M12" s="5">
        <v>2335.1</v>
      </c>
    </row>
    <row r="13" spans="1:15" x14ac:dyDescent="0.3">
      <c r="A13" s="14" t="s">
        <v>33</v>
      </c>
      <c r="B13" s="5">
        <v>2013</v>
      </c>
      <c r="C13" s="5" t="s">
        <v>36</v>
      </c>
      <c r="D13" s="5">
        <v>1390.2</v>
      </c>
      <c r="E13" s="5">
        <v>106.5</v>
      </c>
      <c r="F13" s="5">
        <v>104.7</v>
      </c>
      <c r="G13" s="5">
        <v>105</v>
      </c>
      <c r="H13" s="15">
        <v>105.3</v>
      </c>
      <c r="J13" s="23" t="s">
        <v>55</v>
      </c>
      <c r="K13" s="5">
        <v>182.5</v>
      </c>
      <c r="L13" s="5">
        <v>182.8</v>
      </c>
      <c r="M13" s="5">
        <v>183.4</v>
      </c>
    </row>
    <row r="14" spans="1:15" x14ac:dyDescent="0.3">
      <c r="A14" s="14" t="s">
        <v>30</v>
      </c>
      <c r="B14" s="5">
        <v>2013</v>
      </c>
      <c r="C14" s="5" t="s">
        <v>37</v>
      </c>
      <c r="D14" s="5">
        <v>1394</v>
      </c>
      <c r="E14" s="5">
        <v>107.5</v>
      </c>
      <c r="F14" s="5">
        <v>104.1</v>
      </c>
      <c r="G14" s="5">
        <v>105.5</v>
      </c>
      <c r="H14" s="15">
        <v>105.7</v>
      </c>
      <c r="J14" s="23" t="s">
        <v>56</v>
      </c>
      <c r="K14" s="5">
        <v>169.7</v>
      </c>
      <c r="L14" s="5">
        <v>164.8</v>
      </c>
      <c r="M14" s="5">
        <v>160.4</v>
      </c>
    </row>
    <row r="15" spans="1:15" x14ac:dyDescent="0.3">
      <c r="A15" s="14" t="s">
        <v>32</v>
      </c>
      <c r="B15" s="5">
        <v>2013</v>
      </c>
      <c r="C15" s="5" t="s">
        <v>37</v>
      </c>
      <c r="D15" s="5">
        <v>1417.1999999999998</v>
      </c>
      <c r="E15" s="5">
        <v>107.2</v>
      </c>
      <c r="F15" s="5">
        <v>103.9</v>
      </c>
      <c r="G15" s="5">
        <v>105.7</v>
      </c>
      <c r="H15" s="15">
        <v>106.2</v>
      </c>
      <c r="J15" s="23" t="s">
        <v>57</v>
      </c>
      <c r="K15" s="5">
        <v>180.3</v>
      </c>
      <c r="L15" s="5">
        <v>177.1</v>
      </c>
      <c r="M15" s="5">
        <v>174.8</v>
      </c>
    </row>
    <row r="16" spans="1:15" x14ac:dyDescent="0.3">
      <c r="A16" s="14" t="s">
        <v>33</v>
      </c>
      <c r="B16" s="5">
        <v>2013</v>
      </c>
      <c r="C16" s="5" t="s">
        <v>37</v>
      </c>
      <c r="D16" s="5">
        <v>1402.1999999999998</v>
      </c>
      <c r="E16" s="5">
        <v>107.4</v>
      </c>
      <c r="F16" s="5">
        <v>104</v>
      </c>
      <c r="G16" s="5">
        <v>105.6</v>
      </c>
      <c r="H16" s="15">
        <v>105.9</v>
      </c>
      <c r="J16" s="23" t="s">
        <v>58</v>
      </c>
      <c r="K16" s="5">
        <v>187.8</v>
      </c>
      <c r="L16" s="5">
        <v>185.7</v>
      </c>
      <c r="M16" s="5">
        <v>182.2</v>
      </c>
    </row>
    <row r="17" spans="1:16" x14ac:dyDescent="0.3">
      <c r="A17" s="14" t="s">
        <v>30</v>
      </c>
      <c r="B17" s="5">
        <v>2013</v>
      </c>
      <c r="C17" s="5" t="s">
        <v>38</v>
      </c>
      <c r="D17" s="5">
        <v>1420</v>
      </c>
      <c r="E17" s="5">
        <v>108.5</v>
      </c>
      <c r="F17" s="5">
        <v>105</v>
      </c>
      <c r="G17" s="5">
        <v>106.5</v>
      </c>
      <c r="H17" s="15">
        <v>106.3</v>
      </c>
      <c r="J17" s="23" t="s">
        <v>60</v>
      </c>
      <c r="K17" s="5">
        <f>SUM(K12:K16)</f>
        <v>3011.0000000000009</v>
      </c>
      <c r="L17" s="5">
        <f>SUM(L12:L16)</f>
        <v>3017.3</v>
      </c>
      <c r="M17" s="5">
        <f>SUM(M12:M16)</f>
        <v>3035.9</v>
      </c>
    </row>
    <row r="18" spans="1:16" x14ac:dyDescent="0.3">
      <c r="A18" s="14" t="s">
        <v>32</v>
      </c>
      <c r="B18" s="5">
        <v>2013</v>
      </c>
      <c r="C18" s="5" t="s">
        <v>38</v>
      </c>
      <c r="D18" s="5">
        <v>1464.6000000000001</v>
      </c>
      <c r="E18" s="5">
        <v>108</v>
      </c>
      <c r="F18" s="5">
        <v>105.2</v>
      </c>
      <c r="G18" s="5">
        <v>108.1</v>
      </c>
      <c r="H18" s="15">
        <v>106.5</v>
      </c>
    </row>
    <row r="19" spans="1:16" x14ac:dyDescent="0.3">
      <c r="A19" s="14" t="s">
        <v>33</v>
      </c>
      <c r="B19" s="5">
        <v>2013</v>
      </c>
      <c r="C19" s="5" t="s">
        <v>38</v>
      </c>
      <c r="D19" s="5">
        <v>1436</v>
      </c>
      <c r="E19" s="5">
        <v>108.3</v>
      </c>
      <c r="F19" s="5">
        <v>105.1</v>
      </c>
      <c r="G19" s="5">
        <v>107.4</v>
      </c>
      <c r="H19" s="15">
        <v>106.4</v>
      </c>
      <c r="J19" s="24"/>
    </row>
    <row r="20" spans="1:16" x14ac:dyDescent="0.3">
      <c r="A20" s="14" t="s">
        <v>30</v>
      </c>
      <c r="B20" s="5">
        <v>2013</v>
      </c>
      <c r="C20" s="5" t="s">
        <v>39</v>
      </c>
      <c r="D20" s="5">
        <v>1445.8999999999996</v>
      </c>
      <c r="E20" s="5">
        <v>109.5</v>
      </c>
      <c r="F20" s="5">
        <v>106.8</v>
      </c>
      <c r="G20" s="5">
        <v>107.8</v>
      </c>
      <c r="H20" s="15">
        <v>106.9</v>
      </c>
      <c r="J20" s="20"/>
      <c r="K20" s="20" t="s">
        <v>93</v>
      </c>
      <c r="L20" s="20"/>
      <c r="M20" s="20"/>
      <c r="N20" s="20"/>
      <c r="O20" s="20"/>
      <c r="P20" s="20"/>
    </row>
    <row r="21" spans="1:16" x14ac:dyDescent="0.3">
      <c r="A21" s="14" t="s">
        <v>32</v>
      </c>
      <c r="B21" s="5">
        <v>2013</v>
      </c>
      <c r="C21" s="5" t="s">
        <v>39</v>
      </c>
      <c r="D21" s="5">
        <v>1489.4</v>
      </c>
      <c r="E21" s="5">
        <v>108.6</v>
      </c>
      <c r="F21" s="5">
        <v>107.3</v>
      </c>
      <c r="G21" s="5">
        <v>110.1</v>
      </c>
      <c r="H21" s="15">
        <v>107.1</v>
      </c>
      <c r="J21" s="23" t="s">
        <v>59</v>
      </c>
      <c r="K21" s="22" t="s">
        <v>30</v>
      </c>
      <c r="L21" s="22" t="s">
        <v>33</v>
      </c>
      <c r="M21" s="22" t="s">
        <v>32</v>
      </c>
      <c r="N21" s="22" t="s">
        <v>30</v>
      </c>
      <c r="O21" s="22" t="s">
        <v>33</v>
      </c>
      <c r="P21" s="22" t="s">
        <v>32</v>
      </c>
    </row>
    <row r="22" spans="1:16" x14ac:dyDescent="0.3">
      <c r="A22" s="14" t="s">
        <v>33</v>
      </c>
      <c r="B22" s="5">
        <v>2013</v>
      </c>
      <c r="C22" s="5" t="s">
        <v>39</v>
      </c>
      <c r="D22" s="5">
        <v>1461.3999999999999</v>
      </c>
      <c r="E22" s="5">
        <v>109.2</v>
      </c>
      <c r="F22" s="5">
        <v>107.1</v>
      </c>
      <c r="G22" s="5">
        <v>109.1</v>
      </c>
      <c r="H22" s="15">
        <v>107</v>
      </c>
      <c r="J22" s="23" t="s">
        <v>49</v>
      </c>
      <c r="K22" s="5">
        <f>(K12/$K$17)*100</f>
        <v>76.0777150448356</v>
      </c>
      <c r="L22" s="5">
        <f>(L12/$L$17)*100</f>
        <v>76.455771716435223</v>
      </c>
      <c r="M22" s="5">
        <f>(M12/$M$17)*100</f>
        <v>76.916235712638752</v>
      </c>
      <c r="N22" s="5">
        <f>ROUND(K22,2)</f>
        <v>76.08</v>
      </c>
      <c r="O22" s="5">
        <f>ROUND(L22,2)</f>
        <v>76.459999999999994</v>
      </c>
      <c r="P22" s="5">
        <f>ROUND(M22,2)</f>
        <v>76.92</v>
      </c>
    </row>
    <row r="23" spans="1:16" x14ac:dyDescent="0.3">
      <c r="A23" s="14" t="s">
        <v>30</v>
      </c>
      <c r="B23" s="5">
        <v>2013</v>
      </c>
      <c r="C23" s="5" t="s">
        <v>40</v>
      </c>
      <c r="D23" s="5">
        <v>1462.5</v>
      </c>
      <c r="E23" s="5">
        <v>109.9</v>
      </c>
      <c r="F23" s="5">
        <v>107.8</v>
      </c>
      <c r="G23" s="5">
        <v>108.7</v>
      </c>
      <c r="H23" s="15">
        <v>107.5</v>
      </c>
      <c r="J23" s="23" t="s">
        <v>61</v>
      </c>
      <c r="K23" s="5">
        <f>(K13/$K$17)*100</f>
        <v>6.0611092660245749</v>
      </c>
      <c r="L23" s="5">
        <f t="shared" ref="L23:L27" si="0">(L13/$L$17)*100</f>
        <v>6.0583965797235937</v>
      </c>
      <c r="M23" s="5">
        <f t="shared" ref="M23:M27" si="1">(M13/$M$17)*100</f>
        <v>6.0410421950657138</v>
      </c>
      <c r="N23" s="5">
        <f t="shared" ref="N23:N27" si="2">ROUND(K23,2)</f>
        <v>6.06</v>
      </c>
      <c r="O23" s="5">
        <f t="shared" ref="O23:O27" si="3">ROUND(L23,2)</f>
        <v>6.06</v>
      </c>
      <c r="P23" s="5">
        <f t="shared" ref="P23:P27" si="4">ROUND(M23,2)</f>
        <v>6.04</v>
      </c>
    </row>
    <row r="24" spans="1:16" x14ac:dyDescent="0.3">
      <c r="A24" s="14" t="s">
        <v>32</v>
      </c>
      <c r="B24" s="5">
        <v>2013</v>
      </c>
      <c r="C24" s="5" t="s">
        <v>40</v>
      </c>
      <c r="D24" s="5">
        <v>1506.1000000000001</v>
      </c>
      <c r="E24" s="5">
        <v>109.3</v>
      </c>
      <c r="F24" s="5">
        <v>108.1</v>
      </c>
      <c r="G24" s="5">
        <v>110.8</v>
      </c>
      <c r="H24" s="15">
        <v>107.6</v>
      </c>
      <c r="J24" s="23" t="s">
        <v>63</v>
      </c>
      <c r="K24" s="5">
        <f>(K14/$K$17)*100</f>
        <v>5.636001328462303</v>
      </c>
      <c r="L24" s="5">
        <f t="shared" si="0"/>
        <v>5.4618367414575948</v>
      </c>
      <c r="M24" s="5">
        <f t="shared" si="1"/>
        <v>5.2834414835798285</v>
      </c>
      <c r="N24" s="5">
        <f t="shared" si="2"/>
        <v>5.64</v>
      </c>
      <c r="O24" s="5">
        <f t="shared" si="3"/>
        <v>5.46</v>
      </c>
      <c r="P24" s="5">
        <f t="shared" si="4"/>
        <v>5.28</v>
      </c>
    </row>
    <row r="25" spans="1:16" x14ac:dyDescent="0.3">
      <c r="A25" s="14" t="s">
        <v>33</v>
      </c>
      <c r="B25" s="5">
        <v>2013</v>
      </c>
      <c r="C25" s="5" t="s">
        <v>40</v>
      </c>
      <c r="D25" s="5">
        <v>1477.4</v>
      </c>
      <c r="E25" s="5">
        <v>109.7</v>
      </c>
      <c r="F25" s="5">
        <v>108</v>
      </c>
      <c r="G25" s="5">
        <v>109.9</v>
      </c>
      <c r="H25" s="15">
        <v>107.5</v>
      </c>
      <c r="J25" s="23" t="s">
        <v>62</v>
      </c>
      <c r="K25" s="5">
        <f t="shared" ref="K25:K26" si="5">(K15/$K$17)*100</f>
        <v>5.9880438392560595</v>
      </c>
      <c r="L25" s="5">
        <f t="shared" si="0"/>
        <v>5.8694859642726938</v>
      </c>
      <c r="M25" s="5">
        <f t="shared" si="1"/>
        <v>5.7577654072927302</v>
      </c>
      <c r="N25" s="5">
        <f t="shared" si="2"/>
        <v>5.99</v>
      </c>
      <c r="O25" s="5">
        <f t="shared" si="3"/>
        <v>5.87</v>
      </c>
      <c r="P25" s="5">
        <f t="shared" si="4"/>
        <v>5.76</v>
      </c>
    </row>
    <row r="26" spans="1:16" x14ac:dyDescent="0.3">
      <c r="A26" s="14" t="s">
        <v>30</v>
      </c>
      <c r="B26" s="5">
        <v>2013</v>
      </c>
      <c r="C26" s="5" t="s">
        <v>41</v>
      </c>
      <c r="D26" s="5">
        <v>1488.5000000000002</v>
      </c>
      <c r="E26" s="5">
        <v>111.1</v>
      </c>
      <c r="F26" s="5">
        <v>109.3</v>
      </c>
      <c r="G26" s="5">
        <v>109.8</v>
      </c>
      <c r="H26" s="15">
        <v>108.3</v>
      </c>
      <c r="J26" s="23" t="s">
        <v>64</v>
      </c>
      <c r="K26" s="5">
        <f t="shared" si="5"/>
        <v>6.2371305214214532</v>
      </c>
      <c r="L26" s="5">
        <f t="shared" si="0"/>
        <v>6.1545089981108934</v>
      </c>
      <c r="M26" s="5">
        <f t="shared" si="1"/>
        <v>6.0015152014229711</v>
      </c>
      <c r="N26" s="5">
        <f t="shared" si="2"/>
        <v>6.24</v>
      </c>
      <c r="O26" s="5">
        <f t="shared" si="3"/>
        <v>6.15</v>
      </c>
      <c r="P26" s="5">
        <f t="shared" si="4"/>
        <v>6</v>
      </c>
    </row>
    <row r="27" spans="1:16" x14ac:dyDescent="0.3">
      <c r="A27" s="14" t="s">
        <v>32</v>
      </c>
      <c r="B27" s="5">
        <v>2013</v>
      </c>
      <c r="C27" s="5" t="s">
        <v>41</v>
      </c>
      <c r="D27" s="5">
        <v>1500.4</v>
      </c>
      <c r="E27" s="5">
        <v>109.5</v>
      </c>
      <c r="F27" s="5">
        <v>110.4</v>
      </c>
      <c r="G27" s="5">
        <v>111.2</v>
      </c>
      <c r="H27" s="15">
        <v>107.9</v>
      </c>
      <c r="J27" s="23" t="s">
        <v>60</v>
      </c>
      <c r="K27" s="5">
        <f>(K17/$K$17)*100</f>
        <v>100</v>
      </c>
      <c r="L27" s="5">
        <f t="shared" si="0"/>
        <v>100</v>
      </c>
      <c r="M27" s="5">
        <f t="shared" si="1"/>
        <v>100</v>
      </c>
      <c r="N27" s="5">
        <f t="shared" si="2"/>
        <v>100</v>
      </c>
      <c r="O27" s="5">
        <f t="shared" si="3"/>
        <v>100</v>
      </c>
      <c r="P27" s="5">
        <f t="shared" si="4"/>
        <v>100</v>
      </c>
    </row>
    <row r="28" spans="1:16" x14ac:dyDescent="0.3">
      <c r="A28" s="14" t="s">
        <v>33</v>
      </c>
      <c r="B28" s="5">
        <v>2013</v>
      </c>
      <c r="C28" s="5" t="s">
        <v>41</v>
      </c>
      <c r="D28" s="5">
        <v>1491.6999999999998</v>
      </c>
      <c r="E28" s="5">
        <v>110.5</v>
      </c>
      <c r="F28" s="5">
        <v>109.9</v>
      </c>
      <c r="G28" s="5">
        <v>110.6</v>
      </c>
      <c r="H28" s="15">
        <v>108.1</v>
      </c>
    </row>
    <row r="29" spans="1:16" x14ac:dyDescent="0.3">
      <c r="A29" s="14" t="s">
        <v>30</v>
      </c>
      <c r="B29" s="5">
        <v>2013</v>
      </c>
      <c r="C29" s="5" t="s">
        <v>42</v>
      </c>
      <c r="D29" s="5">
        <v>1508</v>
      </c>
      <c r="E29" s="5">
        <v>111.6</v>
      </c>
      <c r="F29" s="5">
        <v>109.3</v>
      </c>
      <c r="G29" s="5">
        <v>110.2</v>
      </c>
      <c r="H29" s="15">
        <v>108.9</v>
      </c>
    </row>
    <row r="30" spans="1:16" x14ac:dyDescent="0.3">
      <c r="A30" s="14" t="s">
        <v>32</v>
      </c>
      <c r="B30" s="5">
        <v>2013</v>
      </c>
      <c r="C30" s="5" t="s">
        <v>42</v>
      </c>
      <c r="D30" s="5">
        <v>1517.1999999999998</v>
      </c>
      <c r="E30" s="5">
        <v>109.7</v>
      </c>
      <c r="F30" s="5">
        <v>109.7</v>
      </c>
      <c r="G30" s="5">
        <v>111.3</v>
      </c>
      <c r="H30" s="15">
        <v>108.2</v>
      </c>
    </row>
    <row r="31" spans="1:16" x14ac:dyDescent="0.3">
      <c r="A31" s="14" t="s">
        <v>33</v>
      </c>
      <c r="B31" s="5">
        <v>2013</v>
      </c>
      <c r="C31" s="5" t="s">
        <v>42</v>
      </c>
      <c r="D31" s="5">
        <v>1510.2000000000003</v>
      </c>
      <c r="E31" s="5">
        <v>110.9</v>
      </c>
      <c r="F31" s="5">
        <v>109.5</v>
      </c>
      <c r="G31" s="5">
        <v>110.8</v>
      </c>
      <c r="H31" s="15">
        <v>108.6</v>
      </c>
      <c r="K31" s="6"/>
    </row>
    <row r="32" spans="1:16" x14ac:dyDescent="0.3">
      <c r="A32" s="14" t="s">
        <v>30</v>
      </c>
      <c r="B32" s="5">
        <v>2013</v>
      </c>
      <c r="C32" s="5" t="s">
        <v>43</v>
      </c>
      <c r="D32" s="5">
        <v>1536.8</v>
      </c>
      <c r="E32" s="5">
        <v>112.6</v>
      </c>
      <c r="F32" s="5">
        <v>109.6</v>
      </c>
      <c r="G32" s="5">
        <v>111</v>
      </c>
      <c r="H32" s="15">
        <v>109.7</v>
      </c>
    </row>
    <row r="33" spans="1:8" x14ac:dyDescent="0.3">
      <c r="A33" s="14" t="s">
        <v>32</v>
      </c>
      <c r="B33" s="5">
        <v>2013</v>
      </c>
      <c r="C33" s="5" t="s">
        <v>44</v>
      </c>
      <c r="D33" s="5">
        <v>1544.6</v>
      </c>
      <c r="E33" s="5">
        <v>110</v>
      </c>
      <c r="F33" s="5">
        <v>109.5</v>
      </c>
      <c r="G33" s="5">
        <v>111.3</v>
      </c>
      <c r="H33" s="15">
        <v>108.6</v>
      </c>
    </row>
    <row r="34" spans="1:8" x14ac:dyDescent="0.3">
      <c r="A34" s="14" t="s">
        <v>33</v>
      </c>
      <c r="B34" s="5">
        <v>2013</v>
      </c>
      <c r="C34" s="5" t="s">
        <v>44</v>
      </c>
      <c r="D34" s="5">
        <v>1538.8</v>
      </c>
      <c r="E34" s="5">
        <v>111.6</v>
      </c>
      <c r="F34" s="5">
        <v>109.5</v>
      </c>
      <c r="G34" s="5">
        <v>111.2</v>
      </c>
      <c r="H34" s="15">
        <v>109.3</v>
      </c>
    </row>
    <row r="35" spans="1:8" x14ac:dyDescent="0.3">
      <c r="A35" s="14" t="s">
        <v>30</v>
      </c>
      <c r="B35" s="5">
        <v>2013</v>
      </c>
      <c r="C35" s="5" t="s">
        <v>45</v>
      </c>
      <c r="D35" s="5">
        <v>1509</v>
      </c>
      <c r="E35" s="5">
        <v>112.8</v>
      </c>
      <c r="F35" s="5">
        <v>109.9</v>
      </c>
      <c r="G35" s="5">
        <v>111.6</v>
      </c>
      <c r="H35" s="15">
        <v>110.1</v>
      </c>
    </row>
    <row r="36" spans="1:8" x14ac:dyDescent="0.3">
      <c r="A36" s="14" t="s">
        <v>32</v>
      </c>
      <c r="B36" s="5">
        <v>2013</v>
      </c>
      <c r="C36" s="5" t="s">
        <v>45</v>
      </c>
      <c r="D36" s="5">
        <v>1504.4</v>
      </c>
      <c r="E36" s="5">
        <v>110.4</v>
      </c>
      <c r="F36" s="5">
        <v>109.7</v>
      </c>
      <c r="G36" s="5">
        <v>111.4</v>
      </c>
      <c r="H36" s="15">
        <v>109</v>
      </c>
    </row>
    <row r="37" spans="1:8" x14ac:dyDescent="0.3">
      <c r="A37" s="14" t="s">
        <v>33</v>
      </c>
      <c r="B37" s="5">
        <v>2013</v>
      </c>
      <c r="C37" s="5" t="s">
        <v>45</v>
      </c>
      <c r="D37" s="5">
        <v>1507.3000000000002</v>
      </c>
      <c r="E37" s="5">
        <v>111.9</v>
      </c>
      <c r="F37" s="5">
        <v>109.8</v>
      </c>
      <c r="G37" s="5">
        <v>111.5</v>
      </c>
      <c r="H37" s="15">
        <v>109.7</v>
      </c>
    </row>
    <row r="38" spans="1:8" x14ac:dyDescent="0.3">
      <c r="A38" s="14" t="s">
        <v>30</v>
      </c>
      <c r="B38" s="5">
        <v>2014</v>
      </c>
      <c r="C38" s="5" t="s">
        <v>31</v>
      </c>
      <c r="D38" s="5">
        <v>1486.6000000000001</v>
      </c>
      <c r="E38" s="5">
        <v>113</v>
      </c>
      <c r="F38" s="5">
        <v>110.5</v>
      </c>
      <c r="G38" s="5">
        <v>111.8</v>
      </c>
      <c r="H38" s="15">
        <v>110.6</v>
      </c>
    </row>
    <row r="39" spans="1:8" x14ac:dyDescent="0.3">
      <c r="A39" s="14" t="s">
        <v>32</v>
      </c>
      <c r="B39" s="5">
        <v>2014</v>
      </c>
      <c r="C39" s="5" t="s">
        <v>31</v>
      </c>
      <c r="D39" s="5">
        <v>1484.3</v>
      </c>
      <c r="E39" s="5">
        <v>111</v>
      </c>
      <c r="F39" s="5">
        <v>110.8</v>
      </c>
      <c r="G39" s="5">
        <v>111.5</v>
      </c>
      <c r="H39" s="15">
        <v>109.7</v>
      </c>
    </row>
    <row r="40" spans="1:8" x14ac:dyDescent="0.3">
      <c r="A40" s="14" t="s">
        <v>33</v>
      </c>
      <c r="B40" s="5">
        <v>2014</v>
      </c>
      <c r="C40" s="5" t="s">
        <v>31</v>
      </c>
      <c r="D40" s="5">
        <v>1485.7999999999997</v>
      </c>
      <c r="E40" s="5">
        <v>112.2</v>
      </c>
      <c r="F40" s="5">
        <v>110.7</v>
      </c>
      <c r="G40" s="5">
        <v>111.6</v>
      </c>
      <c r="H40" s="15">
        <v>110.3</v>
      </c>
    </row>
    <row r="41" spans="1:8" x14ac:dyDescent="0.3">
      <c r="A41" s="14" t="s">
        <v>30</v>
      </c>
      <c r="B41" s="5">
        <v>2014</v>
      </c>
      <c r="C41" s="5" t="s">
        <v>34</v>
      </c>
      <c r="D41" s="5">
        <v>1482.2</v>
      </c>
      <c r="E41" s="5">
        <v>113.2</v>
      </c>
      <c r="F41" s="5">
        <v>110.8</v>
      </c>
      <c r="G41" s="5">
        <v>112</v>
      </c>
      <c r="H41" s="15">
        <v>110.9</v>
      </c>
    </row>
    <row r="42" spans="1:8" x14ac:dyDescent="0.3">
      <c r="A42" s="14" t="s">
        <v>32</v>
      </c>
      <c r="B42" s="5">
        <v>2014</v>
      </c>
      <c r="C42" s="5" t="s">
        <v>34</v>
      </c>
      <c r="D42" s="5">
        <v>1476</v>
      </c>
      <c r="E42" s="5">
        <v>111.1</v>
      </c>
      <c r="F42" s="5">
        <v>111.3</v>
      </c>
      <c r="G42" s="5">
        <v>111.6</v>
      </c>
      <c r="H42" s="15">
        <v>110.4</v>
      </c>
    </row>
    <row r="43" spans="1:8" x14ac:dyDescent="0.3">
      <c r="A43" s="14" t="s">
        <v>33</v>
      </c>
      <c r="B43" s="5">
        <v>2014</v>
      </c>
      <c r="C43" s="5" t="s">
        <v>34</v>
      </c>
      <c r="D43" s="5">
        <v>1480.1</v>
      </c>
      <c r="E43" s="5">
        <v>112.4</v>
      </c>
      <c r="F43" s="5">
        <v>111.1</v>
      </c>
      <c r="G43" s="5">
        <v>111.8</v>
      </c>
      <c r="H43" s="15">
        <v>110.7</v>
      </c>
    </row>
    <row r="44" spans="1:8" x14ac:dyDescent="0.3">
      <c r="A44" s="14" t="s">
        <v>30</v>
      </c>
      <c r="B44" s="5">
        <v>2014</v>
      </c>
      <c r="C44" s="5" t="s">
        <v>35</v>
      </c>
      <c r="D44" s="5">
        <v>1491.4</v>
      </c>
      <c r="E44" s="5">
        <v>113.4</v>
      </c>
      <c r="F44" s="5">
        <v>111.2</v>
      </c>
      <c r="G44" s="5">
        <v>112.4</v>
      </c>
      <c r="H44" s="15">
        <v>111.4</v>
      </c>
    </row>
    <row r="45" spans="1:8" x14ac:dyDescent="0.3">
      <c r="A45" s="14" t="s">
        <v>32</v>
      </c>
      <c r="B45" s="5">
        <v>2014</v>
      </c>
      <c r="C45" s="5" t="s">
        <v>35</v>
      </c>
      <c r="D45" s="5">
        <v>1483</v>
      </c>
      <c r="E45" s="5">
        <v>110.9</v>
      </c>
      <c r="F45" s="5">
        <v>111.6</v>
      </c>
      <c r="G45" s="5">
        <v>111.8</v>
      </c>
      <c r="H45" s="15">
        <v>110.8</v>
      </c>
    </row>
    <row r="46" spans="1:8" x14ac:dyDescent="0.3">
      <c r="A46" s="14" t="s">
        <v>33</v>
      </c>
      <c r="B46" s="5">
        <v>2014</v>
      </c>
      <c r="C46" s="5" t="s">
        <v>35</v>
      </c>
      <c r="D46" s="5">
        <v>1488.2999999999997</v>
      </c>
      <c r="E46" s="5">
        <v>112.5</v>
      </c>
      <c r="F46" s="5">
        <v>111.4</v>
      </c>
      <c r="G46" s="5">
        <v>112</v>
      </c>
      <c r="H46" s="15">
        <v>111.2</v>
      </c>
    </row>
    <row r="47" spans="1:8" x14ac:dyDescent="0.3">
      <c r="A47" s="14" t="s">
        <v>30</v>
      </c>
      <c r="B47" s="5">
        <v>2014</v>
      </c>
      <c r="C47" s="5" t="s">
        <v>36</v>
      </c>
      <c r="D47" s="5">
        <v>1504.1000000000001</v>
      </c>
      <c r="E47" s="5">
        <v>113.4</v>
      </c>
      <c r="F47" s="5">
        <v>111.2</v>
      </c>
      <c r="G47" s="5">
        <v>113</v>
      </c>
      <c r="H47" s="15">
        <v>111.8</v>
      </c>
    </row>
    <row r="48" spans="1:8" x14ac:dyDescent="0.3">
      <c r="A48" s="14" t="s">
        <v>32</v>
      </c>
      <c r="B48" s="5">
        <v>2014</v>
      </c>
      <c r="C48" s="5" t="s">
        <v>36</v>
      </c>
      <c r="D48" s="5">
        <v>1504.0000000000002</v>
      </c>
      <c r="E48" s="5">
        <v>110.9</v>
      </c>
      <c r="F48" s="5">
        <v>111.2</v>
      </c>
      <c r="G48" s="5">
        <v>112.5</v>
      </c>
      <c r="H48" s="15">
        <v>111</v>
      </c>
    </row>
    <row r="49" spans="1:8" x14ac:dyDescent="0.3">
      <c r="A49" s="14" t="s">
        <v>33</v>
      </c>
      <c r="B49" s="5">
        <v>2014</v>
      </c>
      <c r="C49" s="5" t="s">
        <v>36</v>
      </c>
      <c r="D49" s="5">
        <v>1504.1</v>
      </c>
      <c r="E49" s="5">
        <v>112.5</v>
      </c>
      <c r="F49" s="5">
        <v>111.2</v>
      </c>
      <c r="G49" s="5">
        <v>112.7</v>
      </c>
      <c r="H49" s="15">
        <v>111.5</v>
      </c>
    </row>
    <row r="50" spans="1:8" x14ac:dyDescent="0.3">
      <c r="A50" s="14" t="s">
        <v>30</v>
      </c>
      <c r="B50" s="5">
        <v>2014</v>
      </c>
      <c r="C50" s="5" t="s">
        <v>37</v>
      </c>
      <c r="D50" s="5">
        <v>1513.8999999999999</v>
      </c>
      <c r="E50" s="5">
        <v>113.4</v>
      </c>
      <c r="F50" s="5">
        <v>111.4</v>
      </c>
      <c r="G50" s="5">
        <v>113.1</v>
      </c>
      <c r="H50" s="15">
        <v>112.1</v>
      </c>
    </row>
    <row r="51" spans="1:8" x14ac:dyDescent="0.3">
      <c r="A51" s="14" t="s">
        <v>32</v>
      </c>
      <c r="B51" s="5">
        <v>2014</v>
      </c>
      <c r="C51" s="5" t="s">
        <v>37</v>
      </c>
      <c r="D51" s="5">
        <v>1525.3000000000002</v>
      </c>
      <c r="E51" s="5">
        <v>111.1</v>
      </c>
      <c r="F51" s="5">
        <v>111.3</v>
      </c>
      <c r="G51" s="5">
        <v>112.9</v>
      </c>
      <c r="H51" s="15">
        <v>111.2</v>
      </c>
    </row>
    <row r="52" spans="1:8" x14ac:dyDescent="0.3">
      <c r="A52" s="14" t="s">
        <v>33</v>
      </c>
      <c r="B52" s="5">
        <v>2014</v>
      </c>
      <c r="C52" s="5" t="s">
        <v>37</v>
      </c>
      <c r="D52" s="5">
        <v>1518.5000000000005</v>
      </c>
      <c r="E52" s="5">
        <v>112.5</v>
      </c>
      <c r="F52" s="5">
        <v>111.3</v>
      </c>
      <c r="G52" s="5">
        <v>113</v>
      </c>
      <c r="H52" s="15">
        <v>111.8</v>
      </c>
    </row>
    <row r="53" spans="1:8" x14ac:dyDescent="0.3">
      <c r="A53" s="14" t="s">
        <v>30</v>
      </c>
      <c r="B53" s="5">
        <v>2014</v>
      </c>
      <c r="C53" s="5" t="s">
        <v>38</v>
      </c>
      <c r="D53" s="5">
        <v>1525.6999999999998</v>
      </c>
      <c r="E53" s="5">
        <v>114.4</v>
      </c>
      <c r="F53" s="5">
        <v>112.2</v>
      </c>
      <c r="G53" s="5">
        <v>114.3</v>
      </c>
      <c r="H53" s="15">
        <v>112.8</v>
      </c>
    </row>
    <row r="54" spans="1:8" x14ac:dyDescent="0.3">
      <c r="A54" s="14" t="s">
        <v>32</v>
      </c>
      <c r="B54" s="5">
        <v>2014</v>
      </c>
      <c r="C54" s="5" t="s">
        <v>38</v>
      </c>
      <c r="D54" s="5">
        <v>1547</v>
      </c>
      <c r="E54" s="5">
        <v>111.2</v>
      </c>
      <c r="F54" s="5">
        <v>111.5</v>
      </c>
      <c r="G54" s="5">
        <v>115.1</v>
      </c>
      <c r="H54" s="15">
        <v>111.4</v>
      </c>
    </row>
    <row r="55" spans="1:8" x14ac:dyDescent="0.3">
      <c r="A55" s="14" t="s">
        <v>33</v>
      </c>
      <c r="B55" s="5">
        <v>2014</v>
      </c>
      <c r="C55" s="5" t="s">
        <v>38</v>
      </c>
      <c r="D55" s="5">
        <v>1533.7000000000003</v>
      </c>
      <c r="E55" s="5">
        <v>113.2</v>
      </c>
      <c r="F55" s="5">
        <v>111.8</v>
      </c>
      <c r="G55" s="5">
        <v>114.8</v>
      </c>
      <c r="H55" s="15">
        <v>112.3</v>
      </c>
    </row>
    <row r="56" spans="1:8" x14ac:dyDescent="0.3">
      <c r="A56" s="14" t="s">
        <v>30</v>
      </c>
      <c r="B56" s="5">
        <v>2014</v>
      </c>
      <c r="C56" s="5" t="s">
        <v>39</v>
      </c>
      <c r="D56" s="5">
        <v>1563.2</v>
      </c>
      <c r="E56" s="5">
        <v>115.3</v>
      </c>
      <c r="F56" s="5">
        <v>113.2</v>
      </c>
      <c r="G56" s="5">
        <v>115.5</v>
      </c>
      <c r="H56" s="15">
        <v>113.4</v>
      </c>
    </row>
    <row r="57" spans="1:8" x14ac:dyDescent="0.3">
      <c r="A57" s="14" t="s">
        <v>32</v>
      </c>
      <c r="B57" s="5">
        <v>2014</v>
      </c>
      <c r="C57" s="5" t="s">
        <v>39</v>
      </c>
      <c r="D57" s="5">
        <v>1599.5</v>
      </c>
      <c r="E57" s="5">
        <v>111.6</v>
      </c>
      <c r="F57" s="5">
        <v>113</v>
      </c>
      <c r="G57" s="5">
        <v>117.8</v>
      </c>
      <c r="H57" s="15">
        <v>111.5</v>
      </c>
    </row>
    <row r="58" spans="1:8" x14ac:dyDescent="0.3">
      <c r="A58" s="14" t="s">
        <v>33</v>
      </c>
      <c r="B58" s="5">
        <v>2014</v>
      </c>
      <c r="C58" s="5" t="s">
        <v>39</v>
      </c>
      <c r="D58" s="5">
        <v>1576.3</v>
      </c>
      <c r="E58" s="5">
        <v>113.9</v>
      </c>
      <c r="F58" s="5">
        <v>113.1</v>
      </c>
      <c r="G58" s="5">
        <v>116.8</v>
      </c>
      <c r="H58" s="15">
        <v>112.7</v>
      </c>
    </row>
    <row r="59" spans="1:8" x14ac:dyDescent="0.3">
      <c r="A59" s="14" t="s">
        <v>30</v>
      </c>
      <c r="B59" s="5">
        <v>2014</v>
      </c>
      <c r="C59" s="5" t="s">
        <v>40</v>
      </c>
      <c r="D59" s="5">
        <v>1582.2999999999997</v>
      </c>
      <c r="E59" s="5">
        <v>115.4</v>
      </c>
      <c r="F59" s="5">
        <v>113.2</v>
      </c>
      <c r="G59" s="5">
        <v>116.2</v>
      </c>
      <c r="H59" s="15">
        <v>114</v>
      </c>
    </row>
    <row r="60" spans="1:8" x14ac:dyDescent="0.3">
      <c r="A60" s="14" t="s">
        <v>32</v>
      </c>
      <c r="B60" s="5">
        <v>2014</v>
      </c>
      <c r="C60" s="5" t="s">
        <v>40</v>
      </c>
      <c r="D60" s="5">
        <v>1617</v>
      </c>
      <c r="E60" s="5">
        <v>111.8</v>
      </c>
      <c r="F60" s="5">
        <v>112.5</v>
      </c>
      <c r="G60" s="5">
        <v>119.2</v>
      </c>
      <c r="H60" s="15">
        <v>112.2</v>
      </c>
    </row>
    <row r="61" spans="1:8" x14ac:dyDescent="0.3">
      <c r="A61" s="14" t="s">
        <v>33</v>
      </c>
      <c r="B61" s="5">
        <v>2014</v>
      </c>
      <c r="C61" s="5" t="s">
        <v>40</v>
      </c>
      <c r="D61" s="5">
        <v>1594.4999999999998</v>
      </c>
      <c r="E61" s="5">
        <v>114</v>
      </c>
      <c r="F61" s="5">
        <v>112.8</v>
      </c>
      <c r="G61" s="5">
        <v>118</v>
      </c>
      <c r="H61" s="15">
        <v>113.3</v>
      </c>
    </row>
    <row r="62" spans="1:8" x14ac:dyDescent="0.3">
      <c r="A62" s="14" t="s">
        <v>30</v>
      </c>
      <c r="B62" s="5">
        <v>2014</v>
      </c>
      <c r="C62" s="5" t="s">
        <v>41</v>
      </c>
      <c r="D62" s="5">
        <v>1583.2</v>
      </c>
      <c r="E62" s="5">
        <v>115.8</v>
      </c>
      <c r="F62" s="5">
        <v>112.8</v>
      </c>
      <c r="G62" s="5">
        <v>116.6</v>
      </c>
      <c r="H62" s="15">
        <v>114.5</v>
      </c>
    </row>
    <row r="63" spans="1:8" x14ac:dyDescent="0.3">
      <c r="A63" s="14" t="s">
        <v>32</v>
      </c>
      <c r="B63" s="5">
        <v>2014</v>
      </c>
      <c r="C63" s="5" t="s">
        <v>41</v>
      </c>
      <c r="D63" s="5">
        <v>1593.7000000000003</v>
      </c>
      <c r="E63" s="5">
        <v>111.8</v>
      </c>
      <c r="F63" s="5">
        <v>111.2</v>
      </c>
      <c r="G63" s="5">
        <v>120</v>
      </c>
      <c r="H63" s="15">
        <v>112.3</v>
      </c>
    </row>
    <row r="64" spans="1:8" x14ac:dyDescent="0.3">
      <c r="A64" s="14" t="s">
        <v>33</v>
      </c>
      <c r="B64" s="5">
        <v>2014</v>
      </c>
      <c r="C64" s="5" t="s">
        <v>41</v>
      </c>
      <c r="D64" s="5">
        <v>1586.0999999999997</v>
      </c>
      <c r="E64" s="5">
        <v>114.3</v>
      </c>
      <c r="F64" s="5">
        <v>112</v>
      </c>
      <c r="G64" s="5">
        <v>118.6</v>
      </c>
      <c r="H64" s="15">
        <v>113.7</v>
      </c>
    </row>
    <row r="65" spans="1:8" x14ac:dyDescent="0.3">
      <c r="A65" s="14" t="s">
        <v>30</v>
      </c>
      <c r="B65" s="5">
        <v>2014</v>
      </c>
      <c r="C65" s="5" t="s">
        <v>42</v>
      </c>
      <c r="D65" s="5">
        <v>1581.1999999999998</v>
      </c>
      <c r="E65" s="5">
        <v>116.4</v>
      </c>
      <c r="F65" s="5">
        <v>112.6</v>
      </c>
      <c r="G65" s="5">
        <v>116.9</v>
      </c>
      <c r="H65" s="15">
        <v>115.3</v>
      </c>
    </row>
    <row r="66" spans="1:8" x14ac:dyDescent="0.3">
      <c r="A66" s="14" t="s">
        <v>32</v>
      </c>
      <c r="B66" s="5">
        <v>2014</v>
      </c>
      <c r="C66" s="5" t="s">
        <v>42</v>
      </c>
      <c r="D66" s="5">
        <v>1587.5</v>
      </c>
      <c r="E66" s="5">
        <v>112</v>
      </c>
      <c r="F66" s="5">
        <v>111</v>
      </c>
      <c r="G66" s="5">
        <v>120.2</v>
      </c>
      <c r="H66" s="15">
        <v>112.6</v>
      </c>
    </row>
    <row r="67" spans="1:8" x14ac:dyDescent="0.3">
      <c r="A67" s="14" t="s">
        <v>33</v>
      </c>
      <c r="B67" s="5">
        <v>2014</v>
      </c>
      <c r="C67" s="5" t="s">
        <v>42</v>
      </c>
      <c r="D67" s="5">
        <v>1582.7</v>
      </c>
      <c r="E67" s="5">
        <v>114.7</v>
      </c>
      <c r="F67" s="5">
        <v>111.8</v>
      </c>
      <c r="G67" s="5">
        <v>118.8</v>
      </c>
      <c r="H67" s="15">
        <v>114.3</v>
      </c>
    </row>
    <row r="68" spans="1:8" x14ac:dyDescent="0.3">
      <c r="A68" s="14" t="s">
        <v>30</v>
      </c>
      <c r="B68" s="5">
        <v>2014</v>
      </c>
      <c r="C68" s="5" t="s">
        <v>44</v>
      </c>
      <c r="D68" s="5">
        <v>1582</v>
      </c>
      <c r="E68" s="5">
        <v>117.3</v>
      </c>
      <c r="F68" s="5">
        <v>112</v>
      </c>
      <c r="G68" s="5">
        <v>117.2</v>
      </c>
      <c r="H68" s="15">
        <v>115.9</v>
      </c>
    </row>
    <row r="69" spans="1:8" x14ac:dyDescent="0.3">
      <c r="A69" s="14" t="s">
        <v>32</v>
      </c>
      <c r="B69" s="5">
        <v>2014</v>
      </c>
      <c r="C69" s="5" t="s">
        <v>44</v>
      </c>
      <c r="D69" s="5">
        <v>1587.8</v>
      </c>
      <c r="E69" s="5">
        <v>112.6</v>
      </c>
      <c r="F69" s="5">
        <v>109.7</v>
      </c>
      <c r="G69" s="5">
        <v>120.3</v>
      </c>
      <c r="H69" s="15">
        <v>113</v>
      </c>
    </row>
    <row r="70" spans="1:8" x14ac:dyDescent="0.3">
      <c r="A70" s="14" t="s">
        <v>33</v>
      </c>
      <c r="B70" s="5">
        <v>2014</v>
      </c>
      <c r="C70" s="5" t="s">
        <v>44</v>
      </c>
      <c r="D70" s="5">
        <v>1583.2</v>
      </c>
      <c r="E70" s="5">
        <v>115.5</v>
      </c>
      <c r="F70" s="5">
        <v>110.8</v>
      </c>
      <c r="G70" s="5">
        <v>119</v>
      </c>
      <c r="H70" s="15">
        <v>114.8</v>
      </c>
    </row>
    <row r="71" spans="1:8" x14ac:dyDescent="0.3">
      <c r="A71" s="14" t="s">
        <v>30</v>
      </c>
      <c r="B71" s="5">
        <v>2014</v>
      </c>
      <c r="C71" s="5" t="s">
        <v>45</v>
      </c>
      <c r="D71" s="5">
        <v>1569.6</v>
      </c>
      <c r="E71" s="5">
        <v>117.4</v>
      </c>
      <c r="F71" s="5">
        <v>111.5</v>
      </c>
      <c r="G71" s="5">
        <v>117.7</v>
      </c>
      <c r="H71" s="15">
        <v>116.2</v>
      </c>
    </row>
    <row r="72" spans="1:8" x14ac:dyDescent="0.3">
      <c r="A72" s="14" t="s">
        <v>32</v>
      </c>
      <c r="B72" s="5">
        <v>2014</v>
      </c>
      <c r="C72" s="5" t="s">
        <v>45</v>
      </c>
      <c r="D72" s="5">
        <v>1577.1999999999998</v>
      </c>
      <c r="E72" s="5">
        <v>113</v>
      </c>
      <c r="F72" s="5">
        <v>108.8</v>
      </c>
      <c r="G72" s="5">
        <v>120.7</v>
      </c>
      <c r="H72" s="15">
        <v>113.2</v>
      </c>
    </row>
    <row r="73" spans="1:8" x14ac:dyDescent="0.3">
      <c r="A73" s="14" t="s">
        <v>33</v>
      </c>
      <c r="B73" s="5">
        <v>2014</v>
      </c>
      <c r="C73" s="5" t="s">
        <v>45</v>
      </c>
      <c r="D73" s="5">
        <v>1571.6999999999998</v>
      </c>
      <c r="E73" s="5">
        <v>115.7</v>
      </c>
      <c r="F73" s="5">
        <v>110.1</v>
      </c>
      <c r="G73" s="5">
        <v>119.5</v>
      </c>
      <c r="H73" s="15">
        <v>115.1</v>
      </c>
    </row>
    <row r="74" spans="1:8" x14ac:dyDescent="0.3">
      <c r="A74" s="14" t="s">
        <v>30</v>
      </c>
      <c r="B74" s="5">
        <v>2015</v>
      </c>
      <c r="C74" s="5" t="s">
        <v>31</v>
      </c>
      <c r="D74" s="5">
        <v>1568.1</v>
      </c>
      <c r="E74" s="5">
        <v>118.4</v>
      </c>
      <c r="F74" s="5">
        <v>111</v>
      </c>
      <c r="G74" s="5">
        <v>118.2</v>
      </c>
      <c r="H74" s="15">
        <v>116.6</v>
      </c>
    </row>
    <row r="75" spans="1:8" x14ac:dyDescent="0.3">
      <c r="A75" s="14" t="s">
        <v>32</v>
      </c>
      <c r="B75" s="5">
        <v>2015</v>
      </c>
      <c r="C75" s="5" t="s">
        <v>31</v>
      </c>
      <c r="D75" s="5">
        <v>1574.8999999999999</v>
      </c>
      <c r="E75" s="5">
        <v>113.4</v>
      </c>
      <c r="F75" s="5">
        <v>107.9</v>
      </c>
      <c r="G75" s="5">
        <v>120.8</v>
      </c>
      <c r="H75" s="15">
        <v>113.7</v>
      </c>
    </row>
    <row r="76" spans="1:8" x14ac:dyDescent="0.3">
      <c r="A76" s="14" t="s">
        <v>33</v>
      </c>
      <c r="B76" s="5">
        <v>2015</v>
      </c>
      <c r="C76" s="5" t="s">
        <v>31</v>
      </c>
      <c r="D76" s="5">
        <v>1569.3</v>
      </c>
      <c r="E76" s="5">
        <v>116.5</v>
      </c>
      <c r="F76" s="5">
        <v>109.4</v>
      </c>
      <c r="G76" s="5">
        <v>119.7</v>
      </c>
      <c r="H76" s="15">
        <v>115.5</v>
      </c>
    </row>
    <row r="77" spans="1:8" x14ac:dyDescent="0.3">
      <c r="A77" s="14" t="s">
        <v>30</v>
      </c>
      <c r="B77" s="5">
        <v>2015</v>
      </c>
      <c r="C77" s="5" t="s">
        <v>34</v>
      </c>
      <c r="D77" s="5">
        <v>1570.5999999999997</v>
      </c>
      <c r="E77" s="5">
        <v>120</v>
      </c>
      <c r="F77" s="5">
        <v>110.9</v>
      </c>
      <c r="G77" s="5">
        <v>118.7</v>
      </c>
      <c r="H77" s="15">
        <v>117.7</v>
      </c>
    </row>
    <row r="78" spans="1:8" x14ac:dyDescent="0.3">
      <c r="A78" s="14" t="s">
        <v>32</v>
      </c>
      <c r="B78" s="5">
        <v>2015</v>
      </c>
      <c r="C78" s="5" t="s">
        <v>34</v>
      </c>
      <c r="D78" s="5">
        <v>1571.1000000000001</v>
      </c>
      <c r="E78" s="5">
        <v>114</v>
      </c>
      <c r="F78" s="5">
        <v>106.8</v>
      </c>
      <c r="G78" s="5">
        <v>120.4</v>
      </c>
      <c r="H78" s="15">
        <v>114.1</v>
      </c>
    </row>
    <row r="79" spans="1:8" x14ac:dyDescent="0.3">
      <c r="A79" s="14" t="s">
        <v>33</v>
      </c>
      <c r="B79" s="5">
        <v>2015</v>
      </c>
      <c r="C79" s="5" t="s">
        <v>34</v>
      </c>
      <c r="D79" s="5">
        <v>1569.3999999999996</v>
      </c>
      <c r="E79" s="5">
        <v>117.7</v>
      </c>
      <c r="F79" s="5">
        <v>108.7</v>
      </c>
      <c r="G79" s="5">
        <v>119.7</v>
      </c>
      <c r="H79" s="15">
        <v>116.3</v>
      </c>
    </row>
    <row r="80" spans="1:8" x14ac:dyDescent="0.3">
      <c r="A80" s="14" t="s">
        <v>30</v>
      </c>
      <c r="B80" s="5">
        <v>2015</v>
      </c>
      <c r="C80" s="5" t="s">
        <v>35</v>
      </c>
      <c r="D80" s="5">
        <v>1571.5</v>
      </c>
      <c r="E80" s="5">
        <v>120.6</v>
      </c>
      <c r="F80" s="5">
        <v>111.6</v>
      </c>
      <c r="G80" s="5">
        <v>119.4</v>
      </c>
      <c r="H80" s="15">
        <v>118.2</v>
      </c>
    </row>
    <row r="81" spans="1:8" x14ac:dyDescent="0.3">
      <c r="A81" s="14" t="s">
        <v>32</v>
      </c>
      <c r="B81" s="5">
        <v>2015</v>
      </c>
      <c r="C81" s="5" t="s">
        <v>35</v>
      </c>
      <c r="D81" s="5">
        <v>1568.0000000000002</v>
      </c>
      <c r="E81" s="5">
        <v>114.4</v>
      </c>
      <c r="F81" s="5">
        <v>108.4</v>
      </c>
      <c r="G81" s="5">
        <v>120.6</v>
      </c>
      <c r="H81" s="15">
        <v>114.3</v>
      </c>
    </row>
    <row r="82" spans="1:8" x14ac:dyDescent="0.3">
      <c r="A82" s="14" t="s">
        <v>33</v>
      </c>
      <c r="B82" s="5">
        <v>2015</v>
      </c>
      <c r="C82" s="5" t="s">
        <v>35</v>
      </c>
      <c r="D82" s="5">
        <v>1569.1</v>
      </c>
      <c r="E82" s="5">
        <v>118.3</v>
      </c>
      <c r="F82" s="5">
        <v>109.9</v>
      </c>
      <c r="G82" s="5">
        <v>120.1</v>
      </c>
      <c r="H82" s="15">
        <v>116.7</v>
      </c>
    </row>
    <row r="83" spans="1:8" x14ac:dyDescent="0.3">
      <c r="A83" s="14" t="s">
        <v>30</v>
      </c>
      <c r="B83" s="5">
        <v>2015</v>
      </c>
      <c r="C83" s="5" t="s">
        <v>36</v>
      </c>
      <c r="D83" s="5">
        <v>1577.2</v>
      </c>
      <c r="E83" s="5">
        <v>121.2</v>
      </c>
      <c r="F83" s="5">
        <v>111.9</v>
      </c>
      <c r="G83" s="5">
        <v>119.9</v>
      </c>
      <c r="H83" s="15">
        <v>118.6</v>
      </c>
    </row>
    <row r="84" spans="1:8" x14ac:dyDescent="0.3">
      <c r="A84" s="14" t="s">
        <v>32</v>
      </c>
      <c r="B84" s="5">
        <v>2015</v>
      </c>
      <c r="C84" s="5" t="s">
        <v>36</v>
      </c>
      <c r="D84" s="5">
        <v>1576.1</v>
      </c>
      <c r="E84" s="5">
        <v>114.7</v>
      </c>
      <c r="F84" s="5">
        <v>108.4</v>
      </c>
      <c r="G84" s="5">
        <v>121.7</v>
      </c>
      <c r="H84" s="15">
        <v>114.6</v>
      </c>
    </row>
    <row r="85" spans="1:8" x14ac:dyDescent="0.3">
      <c r="A85" s="14" t="s">
        <v>33</v>
      </c>
      <c r="B85" s="5">
        <v>2015</v>
      </c>
      <c r="C85" s="5" t="s">
        <v>36</v>
      </c>
      <c r="D85" s="5">
        <v>1575.7</v>
      </c>
      <c r="E85" s="5">
        <v>118.7</v>
      </c>
      <c r="F85" s="5">
        <v>110.1</v>
      </c>
      <c r="G85" s="5">
        <v>121</v>
      </c>
      <c r="H85" s="15">
        <v>117.1</v>
      </c>
    </row>
    <row r="86" spans="1:8" x14ac:dyDescent="0.3">
      <c r="A86" s="14" t="s">
        <v>30</v>
      </c>
      <c r="B86" s="5">
        <v>2015</v>
      </c>
      <c r="C86" s="5" t="s">
        <v>37</v>
      </c>
      <c r="D86" s="5">
        <v>1587.7</v>
      </c>
      <c r="E86" s="5">
        <v>121.9</v>
      </c>
      <c r="F86" s="5">
        <v>113.3</v>
      </c>
      <c r="G86" s="5">
        <v>120.5</v>
      </c>
      <c r="H86" s="15">
        <v>119.4</v>
      </c>
    </row>
    <row r="87" spans="1:8" x14ac:dyDescent="0.3">
      <c r="A87" s="14" t="s">
        <v>32</v>
      </c>
      <c r="B87" s="5">
        <v>2015</v>
      </c>
      <c r="C87" s="5" t="s">
        <v>37</v>
      </c>
      <c r="D87" s="5">
        <v>1598.9</v>
      </c>
      <c r="E87" s="5">
        <v>114.9</v>
      </c>
      <c r="F87" s="5">
        <v>110.8</v>
      </c>
      <c r="G87" s="5">
        <v>122</v>
      </c>
      <c r="H87" s="15">
        <v>114.9</v>
      </c>
    </row>
    <row r="88" spans="1:8" x14ac:dyDescent="0.3">
      <c r="A88" s="14" t="s">
        <v>33</v>
      </c>
      <c r="B88" s="5">
        <v>2015</v>
      </c>
      <c r="C88" s="5" t="s">
        <v>37</v>
      </c>
      <c r="D88" s="5">
        <v>1590.4</v>
      </c>
      <c r="E88" s="5">
        <v>119.2</v>
      </c>
      <c r="F88" s="5">
        <v>112</v>
      </c>
      <c r="G88" s="5">
        <v>121.4</v>
      </c>
      <c r="H88" s="15">
        <v>117.7</v>
      </c>
    </row>
    <row r="89" spans="1:8" x14ac:dyDescent="0.3">
      <c r="A89" s="14" t="s">
        <v>30</v>
      </c>
      <c r="B89" s="5">
        <v>2015</v>
      </c>
      <c r="C89" s="5" t="s">
        <v>38</v>
      </c>
      <c r="D89" s="5">
        <v>1617.8999999999999</v>
      </c>
      <c r="E89" s="5">
        <v>122.6</v>
      </c>
      <c r="F89" s="5">
        <v>114.2</v>
      </c>
      <c r="G89" s="5">
        <v>122</v>
      </c>
      <c r="H89" s="15">
        <v>120.4</v>
      </c>
    </row>
    <row r="90" spans="1:8" x14ac:dyDescent="0.3">
      <c r="A90" s="14" t="s">
        <v>32</v>
      </c>
      <c r="B90" s="5">
        <v>2015</v>
      </c>
      <c r="C90" s="5" t="s">
        <v>38</v>
      </c>
      <c r="D90" s="5">
        <v>1636.6</v>
      </c>
      <c r="E90" s="5">
        <v>115.1</v>
      </c>
      <c r="F90" s="5">
        <v>111.7</v>
      </c>
      <c r="G90" s="5">
        <v>123.8</v>
      </c>
      <c r="H90" s="15">
        <v>115.4</v>
      </c>
    </row>
    <row r="91" spans="1:8" x14ac:dyDescent="0.3">
      <c r="A91" s="14" t="s">
        <v>33</v>
      </c>
      <c r="B91" s="5">
        <v>2015</v>
      </c>
      <c r="C91" s="5" t="s">
        <v>38</v>
      </c>
      <c r="D91" s="5">
        <v>1623.5</v>
      </c>
      <c r="E91" s="5">
        <v>119.8</v>
      </c>
      <c r="F91" s="5">
        <v>112.9</v>
      </c>
      <c r="G91" s="5">
        <v>123.1</v>
      </c>
      <c r="H91" s="15">
        <v>118.5</v>
      </c>
    </row>
    <row r="92" spans="1:8" x14ac:dyDescent="0.3">
      <c r="A92" s="14" t="s">
        <v>30</v>
      </c>
      <c r="B92" s="5">
        <v>2015</v>
      </c>
      <c r="C92" s="5" t="s">
        <v>39</v>
      </c>
      <c r="D92" s="5">
        <v>1625.3</v>
      </c>
      <c r="E92" s="5">
        <v>123</v>
      </c>
      <c r="F92" s="5">
        <v>114.1</v>
      </c>
      <c r="G92" s="5">
        <v>122.9</v>
      </c>
      <c r="H92" s="15">
        <v>120.8</v>
      </c>
    </row>
    <row r="93" spans="1:8" x14ac:dyDescent="0.3">
      <c r="A93" s="14" t="s">
        <v>32</v>
      </c>
      <c r="B93" s="5">
        <v>2015</v>
      </c>
      <c r="C93" s="5" t="s">
        <v>39</v>
      </c>
      <c r="D93" s="5">
        <v>1642.8999999999999</v>
      </c>
      <c r="E93" s="5">
        <v>115.3</v>
      </c>
      <c r="F93" s="5">
        <v>111.5</v>
      </c>
      <c r="G93" s="5">
        <v>125.4</v>
      </c>
      <c r="H93" s="15">
        <v>116</v>
      </c>
    </row>
    <row r="94" spans="1:8" x14ac:dyDescent="0.3">
      <c r="A94" s="14" t="s">
        <v>33</v>
      </c>
      <c r="B94" s="5">
        <v>2015</v>
      </c>
      <c r="C94" s="5" t="s">
        <v>39</v>
      </c>
      <c r="D94" s="5">
        <v>1630.6000000000001</v>
      </c>
      <c r="E94" s="5">
        <v>120.1</v>
      </c>
      <c r="F94" s="5">
        <v>112.7</v>
      </c>
      <c r="G94" s="5">
        <v>124.4</v>
      </c>
      <c r="H94" s="15">
        <v>119</v>
      </c>
    </row>
    <row r="95" spans="1:8" x14ac:dyDescent="0.3">
      <c r="A95" s="14" t="s">
        <v>30</v>
      </c>
      <c r="B95" s="5">
        <v>2015</v>
      </c>
      <c r="C95" s="5" t="s">
        <v>40</v>
      </c>
      <c r="D95" s="5">
        <v>1646.6</v>
      </c>
      <c r="E95" s="5">
        <v>123.8</v>
      </c>
      <c r="F95" s="5">
        <v>113.6</v>
      </c>
      <c r="G95" s="5">
        <v>123.6</v>
      </c>
      <c r="H95" s="15">
        <v>121.1</v>
      </c>
    </row>
    <row r="96" spans="1:8" x14ac:dyDescent="0.3">
      <c r="A96" s="14" t="s">
        <v>32</v>
      </c>
      <c r="B96" s="5">
        <v>2015</v>
      </c>
      <c r="C96" s="5" t="s">
        <v>40</v>
      </c>
      <c r="D96" s="5">
        <v>1658.8999999999999</v>
      </c>
      <c r="E96" s="5">
        <v>115.3</v>
      </c>
      <c r="F96" s="5">
        <v>109.9</v>
      </c>
      <c r="G96" s="5">
        <v>126.2</v>
      </c>
      <c r="H96" s="15">
        <v>116.6</v>
      </c>
    </row>
    <row r="97" spans="1:8" x14ac:dyDescent="0.3">
      <c r="A97" s="14" t="s">
        <v>33</v>
      </c>
      <c r="B97" s="5">
        <v>2015</v>
      </c>
      <c r="C97" s="5" t="s">
        <v>40</v>
      </c>
      <c r="D97" s="5">
        <v>1649.6</v>
      </c>
      <c r="E97" s="5">
        <v>120.6</v>
      </c>
      <c r="F97" s="5">
        <v>111.7</v>
      </c>
      <c r="G97" s="5">
        <v>125.1</v>
      </c>
      <c r="H97" s="15">
        <v>119.4</v>
      </c>
    </row>
    <row r="98" spans="1:8" x14ac:dyDescent="0.3">
      <c r="A98" s="14" t="s">
        <v>30</v>
      </c>
      <c r="B98" s="5">
        <v>2015</v>
      </c>
      <c r="C98" s="5" t="s">
        <v>41</v>
      </c>
      <c r="D98" s="5">
        <v>1657.6000000000001</v>
      </c>
      <c r="E98" s="5">
        <v>123.7</v>
      </c>
      <c r="F98" s="5">
        <v>113.8</v>
      </c>
      <c r="G98" s="5">
        <v>124.5</v>
      </c>
      <c r="H98" s="15">
        <v>121.4</v>
      </c>
    </row>
    <row r="99" spans="1:8" x14ac:dyDescent="0.3">
      <c r="A99" s="14" t="s">
        <v>32</v>
      </c>
      <c r="B99" s="5">
        <v>2015</v>
      </c>
      <c r="C99" s="5" t="s">
        <v>41</v>
      </c>
      <c r="D99" s="5">
        <v>1664.8</v>
      </c>
      <c r="E99" s="5">
        <v>115.1</v>
      </c>
      <c r="F99" s="5">
        <v>109.1</v>
      </c>
      <c r="G99" s="5">
        <v>126.5</v>
      </c>
      <c r="H99" s="15">
        <v>117.1</v>
      </c>
    </row>
    <row r="100" spans="1:8" x14ac:dyDescent="0.3">
      <c r="A100" s="14" t="s">
        <v>33</v>
      </c>
      <c r="B100" s="5">
        <v>2015</v>
      </c>
      <c r="C100" s="5" t="s">
        <v>41</v>
      </c>
      <c r="D100" s="5">
        <v>1658.3000000000002</v>
      </c>
      <c r="E100" s="5">
        <v>120.4</v>
      </c>
      <c r="F100" s="5">
        <v>111.3</v>
      </c>
      <c r="G100" s="5">
        <v>125.7</v>
      </c>
      <c r="H100" s="15">
        <v>119.8</v>
      </c>
    </row>
    <row r="101" spans="1:8" x14ac:dyDescent="0.3">
      <c r="A101" s="14" t="s">
        <v>30</v>
      </c>
      <c r="B101" s="5">
        <v>2015</v>
      </c>
      <c r="C101" s="5" t="s">
        <v>42</v>
      </c>
      <c r="D101" s="5">
        <v>1674.6</v>
      </c>
      <c r="E101" s="5">
        <v>124.4</v>
      </c>
      <c r="F101" s="5">
        <v>113.8</v>
      </c>
      <c r="G101" s="5">
        <v>125.1</v>
      </c>
      <c r="H101" s="15">
        <v>122</v>
      </c>
    </row>
    <row r="102" spans="1:8" x14ac:dyDescent="0.3">
      <c r="A102" s="14" t="s">
        <v>32</v>
      </c>
      <c r="B102" s="5">
        <v>2015</v>
      </c>
      <c r="C102" s="5" t="s">
        <v>42</v>
      </c>
      <c r="D102" s="5">
        <v>1692.8000000000002</v>
      </c>
      <c r="E102" s="5">
        <v>114.9</v>
      </c>
      <c r="F102" s="5">
        <v>109.3</v>
      </c>
      <c r="G102" s="5">
        <v>126.5</v>
      </c>
      <c r="H102" s="15">
        <v>117.7</v>
      </c>
    </row>
    <row r="103" spans="1:8" x14ac:dyDescent="0.3">
      <c r="A103" s="14" t="s">
        <v>33</v>
      </c>
      <c r="B103" s="5">
        <v>2015</v>
      </c>
      <c r="C103" s="5" t="s">
        <v>42</v>
      </c>
      <c r="D103" s="5">
        <v>1678.9999999999998</v>
      </c>
      <c r="E103" s="5">
        <v>120.8</v>
      </c>
      <c r="F103" s="5">
        <v>111.4</v>
      </c>
      <c r="G103" s="5">
        <v>125.9</v>
      </c>
      <c r="H103" s="15">
        <v>120.4</v>
      </c>
    </row>
    <row r="104" spans="1:8" x14ac:dyDescent="0.3">
      <c r="A104" s="14" t="s">
        <v>30</v>
      </c>
      <c r="B104" s="5">
        <v>2015</v>
      </c>
      <c r="C104" s="5" t="s">
        <v>44</v>
      </c>
      <c r="D104" s="5">
        <v>1686.3</v>
      </c>
      <c r="E104" s="5">
        <v>125.6</v>
      </c>
      <c r="F104" s="5">
        <v>114</v>
      </c>
      <c r="G104" s="5">
        <v>125.8</v>
      </c>
      <c r="H104" s="15">
        <v>122.6</v>
      </c>
    </row>
    <row r="105" spans="1:8" x14ac:dyDescent="0.3">
      <c r="A105" s="14" t="s">
        <v>32</v>
      </c>
      <c r="B105" s="5">
        <v>2015</v>
      </c>
      <c r="C105" s="5" t="s">
        <v>44</v>
      </c>
      <c r="D105" s="5">
        <v>1708.4999999999998</v>
      </c>
      <c r="E105" s="5">
        <v>115.1</v>
      </c>
      <c r="F105" s="5">
        <v>109.3</v>
      </c>
      <c r="G105" s="5">
        <v>126.6</v>
      </c>
      <c r="H105" s="15">
        <v>118.1</v>
      </c>
    </row>
    <row r="106" spans="1:8" x14ac:dyDescent="0.3">
      <c r="A106" s="14" t="s">
        <v>33</v>
      </c>
      <c r="B106" s="5">
        <v>2015</v>
      </c>
      <c r="C106" s="5" t="s">
        <v>44</v>
      </c>
      <c r="D106" s="5">
        <v>1692.1</v>
      </c>
      <c r="E106" s="5">
        <v>121.6</v>
      </c>
      <c r="F106" s="5">
        <v>111.5</v>
      </c>
      <c r="G106" s="5">
        <v>126.3</v>
      </c>
      <c r="H106" s="15">
        <v>120.9</v>
      </c>
    </row>
    <row r="107" spans="1:8" x14ac:dyDescent="0.3">
      <c r="A107" s="14" t="s">
        <v>30</v>
      </c>
      <c r="B107" s="5">
        <v>2015</v>
      </c>
      <c r="C107" s="5" t="s">
        <v>45</v>
      </c>
      <c r="D107" s="5">
        <v>1682.3000000000002</v>
      </c>
      <c r="E107" s="5">
        <v>125.7</v>
      </c>
      <c r="F107" s="5">
        <v>114</v>
      </c>
      <c r="G107" s="5">
        <v>125.6</v>
      </c>
      <c r="H107" s="15">
        <v>123.1</v>
      </c>
    </row>
    <row r="108" spans="1:8" x14ac:dyDescent="0.3">
      <c r="A108" s="14" t="s">
        <v>32</v>
      </c>
      <c r="B108" s="5">
        <v>2015</v>
      </c>
      <c r="C108" s="5" t="s">
        <v>45</v>
      </c>
      <c r="D108" s="5">
        <v>1698.8</v>
      </c>
      <c r="E108" s="5">
        <v>116</v>
      </c>
      <c r="F108" s="5">
        <v>109.3</v>
      </c>
      <c r="G108" s="5">
        <v>126.6</v>
      </c>
      <c r="H108" s="15">
        <v>118.6</v>
      </c>
    </row>
    <row r="109" spans="1:8" x14ac:dyDescent="0.3">
      <c r="A109" s="14" t="s">
        <v>33</v>
      </c>
      <c r="B109" s="5">
        <v>2015</v>
      </c>
      <c r="C109" s="5" t="s">
        <v>45</v>
      </c>
      <c r="D109" s="5">
        <v>1686.1000000000001</v>
      </c>
      <c r="E109" s="5">
        <v>122</v>
      </c>
      <c r="F109" s="5">
        <v>111.5</v>
      </c>
      <c r="G109" s="5">
        <v>126.2</v>
      </c>
      <c r="H109" s="15">
        <v>121.4</v>
      </c>
    </row>
    <row r="110" spans="1:8" x14ac:dyDescent="0.3">
      <c r="A110" s="14" t="s">
        <v>30</v>
      </c>
      <c r="B110" s="5">
        <v>2016</v>
      </c>
      <c r="C110" s="5" t="s">
        <v>31</v>
      </c>
      <c r="D110" s="5">
        <v>1690.1000000000001</v>
      </c>
      <c r="E110" s="5">
        <v>126.2</v>
      </c>
      <c r="F110" s="5">
        <v>113.6</v>
      </c>
      <c r="G110" s="5">
        <v>126.2</v>
      </c>
      <c r="H110" s="15">
        <v>123.7</v>
      </c>
    </row>
    <row r="111" spans="1:8" x14ac:dyDescent="0.3">
      <c r="A111" s="14" t="s">
        <v>32</v>
      </c>
      <c r="B111" s="5">
        <v>2016</v>
      </c>
      <c r="C111" s="5" t="s">
        <v>31</v>
      </c>
      <c r="D111" s="5">
        <v>1701.4</v>
      </c>
      <c r="E111" s="5">
        <v>116.9</v>
      </c>
      <c r="F111" s="5">
        <v>108.9</v>
      </c>
      <c r="G111" s="5">
        <v>126.4</v>
      </c>
      <c r="H111" s="15">
        <v>119.1</v>
      </c>
    </row>
    <row r="112" spans="1:8" x14ac:dyDescent="0.3">
      <c r="A112" s="14" t="s">
        <v>33</v>
      </c>
      <c r="B112" s="5">
        <v>2016</v>
      </c>
      <c r="C112" s="5" t="s">
        <v>31</v>
      </c>
      <c r="D112" s="5">
        <v>1691.7</v>
      </c>
      <c r="E112" s="5">
        <v>122.7</v>
      </c>
      <c r="F112" s="5">
        <v>111.1</v>
      </c>
      <c r="G112" s="5">
        <v>126.3</v>
      </c>
      <c r="H112" s="15">
        <v>122</v>
      </c>
    </row>
    <row r="113" spans="1:8" x14ac:dyDescent="0.3">
      <c r="A113" s="14" t="s">
        <v>30</v>
      </c>
      <c r="B113" s="5">
        <v>2016</v>
      </c>
      <c r="C113" s="5" t="s">
        <v>34</v>
      </c>
      <c r="D113" s="5">
        <v>1682.6</v>
      </c>
      <c r="E113" s="5">
        <v>127.5</v>
      </c>
      <c r="F113" s="5">
        <v>113.9</v>
      </c>
      <c r="G113" s="5">
        <v>127.1</v>
      </c>
      <c r="H113" s="15">
        <v>124.3</v>
      </c>
    </row>
    <row r="114" spans="1:8" x14ac:dyDescent="0.3">
      <c r="A114" s="14" t="s">
        <v>32</v>
      </c>
      <c r="B114" s="5">
        <v>2016</v>
      </c>
      <c r="C114" s="5" t="s">
        <v>34</v>
      </c>
      <c r="D114" s="5">
        <v>1676.1</v>
      </c>
      <c r="E114" s="5">
        <v>116</v>
      </c>
      <c r="F114" s="5">
        <v>109.1</v>
      </c>
      <c r="G114" s="5">
        <v>126.3</v>
      </c>
      <c r="H114" s="15">
        <v>119.5</v>
      </c>
    </row>
    <row r="115" spans="1:8" x14ac:dyDescent="0.3">
      <c r="A115" s="14" t="s">
        <v>33</v>
      </c>
      <c r="B115" s="5">
        <v>2016</v>
      </c>
      <c r="C115" s="5" t="s">
        <v>34</v>
      </c>
      <c r="D115" s="5">
        <v>1678.1</v>
      </c>
      <c r="E115" s="5">
        <v>123.1</v>
      </c>
      <c r="F115" s="5">
        <v>111.4</v>
      </c>
      <c r="G115" s="5">
        <v>126.6</v>
      </c>
      <c r="H115" s="15">
        <v>122.5</v>
      </c>
    </row>
    <row r="116" spans="1:8" x14ac:dyDescent="0.3">
      <c r="A116" s="14" t="s">
        <v>30</v>
      </c>
      <c r="B116" s="5">
        <v>2016</v>
      </c>
      <c r="C116" s="5" t="s">
        <v>35</v>
      </c>
      <c r="D116" s="5">
        <v>1682.7000000000003</v>
      </c>
      <c r="E116" s="5">
        <v>127</v>
      </c>
      <c r="F116" s="5">
        <v>113.6</v>
      </c>
      <c r="G116" s="5">
        <v>127.5</v>
      </c>
      <c r="H116" s="15">
        <v>124.8</v>
      </c>
    </row>
    <row r="117" spans="1:8" x14ac:dyDescent="0.3">
      <c r="A117" s="14" t="s">
        <v>32</v>
      </c>
      <c r="B117" s="5">
        <v>2016</v>
      </c>
      <c r="C117" s="5" t="s">
        <v>35</v>
      </c>
      <c r="D117" s="5">
        <v>1667.6000000000001</v>
      </c>
      <c r="E117" s="5">
        <v>114.8</v>
      </c>
      <c r="F117" s="5">
        <v>108.5</v>
      </c>
      <c r="G117" s="5">
        <v>126.4</v>
      </c>
      <c r="H117" s="15">
        <v>119.7</v>
      </c>
    </row>
    <row r="118" spans="1:8" x14ac:dyDescent="0.3">
      <c r="A118" s="14" t="s">
        <v>33</v>
      </c>
      <c r="B118" s="5">
        <v>2016</v>
      </c>
      <c r="C118" s="5" t="s">
        <v>35</v>
      </c>
      <c r="D118" s="5">
        <v>1675.2</v>
      </c>
      <c r="E118" s="5">
        <v>122.4</v>
      </c>
      <c r="F118" s="5">
        <v>110.9</v>
      </c>
      <c r="G118" s="5">
        <v>126.9</v>
      </c>
      <c r="H118" s="15">
        <v>122.9</v>
      </c>
    </row>
    <row r="119" spans="1:8" x14ac:dyDescent="0.3">
      <c r="A119" s="14" t="s">
        <v>30</v>
      </c>
      <c r="B119" s="5">
        <v>2016</v>
      </c>
      <c r="C119" s="5" t="s">
        <v>36</v>
      </c>
      <c r="D119" s="5">
        <v>1701.6000000000004</v>
      </c>
      <c r="E119" s="5">
        <v>127</v>
      </c>
      <c r="F119" s="5">
        <v>114.4</v>
      </c>
      <c r="G119" s="5">
        <v>127.9</v>
      </c>
      <c r="H119" s="15">
        <v>125.2</v>
      </c>
    </row>
    <row r="120" spans="1:8" x14ac:dyDescent="0.3">
      <c r="A120" s="14" t="s">
        <v>32</v>
      </c>
      <c r="B120" s="5">
        <v>2016</v>
      </c>
      <c r="C120" s="5" t="s">
        <v>36</v>
      </c>
      <c r="D120" s="5">
        <v>1706.3</v>
      </c>
      <c r="E120" s="5">
        <v>114.6</v>
      </c>
      <c r="F120" s="5">
        <v>110</v>
      </c>
      <c r="G120" s="5">
        <v>127.6</v>
      </c>
      <c r="H120" s="15">
        <v>120</v>
      </c>
    </row>
    <row r="121" spans="1:8" x14ac:dyDescent="0.3">
      <c r="A121" s="14" t="s">
        <v>33</v>
      </c>
      <c r="B121" s="5">
        <v>2016</v>
      </c>
      <c r="C121" s="5" t="s">
        <v>36</v>
      </c>
      <c r="D121" s="5">
        <v>1701.3</v>
      </c>
      <c r="E121" s="5">
        <v>122.3</v>
      </c>
      <c r="F121" s="5">
        <v>112.1</v>
      </c>
      <c r="G121" s="5">
        <v>127.7</v>
      </c>
      <c r="H121" s="15">
        <v>123.2</v>
      </c>
    </row>
    <row r="122" spans="1:8" x14ac:dyDescent="0.3">
      <c r="A122" s="14" t="s">
        <v>30</v>
      </c>
      <c r="B122" s="5">
        <v>2016</v>
      </c>
      <c r="C122" s="5" t="s">
        <v>37</v>
      </c>
      <c r="D122" s="5">
        <v>1723.6999999999998</v>
      </c>
      <c r="E122" s="5">
        <v>127.4</v>
      </c>
      <c r="F122" s="5">
        <v>115.1</v>
      </c>
      <c r="G122" s="5">
        <v>129.1</v>
      </c>
      <c r="H122" s="15">
        <v>125.8</v>
      </c>
    </row>
    <row r="123" spans="1:8" x14ac:dyDescent="0.3">
      <c r="A123" s="14" t="s">
        <v>32</v>
      </c>
      <c r="B123" s="5">
        <v>2016</v>
      </c>
      <c r="C123" s="5" t="s">
        <v>37</v>
      </c>
      <c r="D123" s="5">
        <v>1746.7999999999997</v>
      </c>
      <c r="E123" s="5">
        <v>115</v>
      </c>
      <c r="F123" s="5">
        <v>110.7</v>
      </c>
      <c r="G123" s="5">
        <v>128</v>
      </c>
      <c r="H123" s="15">
        <v>120.3</v>
      </c>
    </row>
    <row r="124" spans="1:8" x14ac:dyDescent="0.3">
      <c r="A124" s="14" t="s">
        <v>33</v>
      </c>
      <c r="B124" s="5">
        <v>2016</v>
      </c>
      <c r="C124" s="5" t="s">
        <v>37</v>
      </c>
      <c r="D124" s="5">
        <v>1730.4</v>
      </c>
      <c r="E124" s="5">
        <v>122.7</v>
      </c>
      <c r="F124" s="5">
        <v>112.8</v>
      </c>
      <c r="G124" s="5">
        <v>128.5</v>
      </c>
      <c r="H124" s="15">
        <v>123.7</v>
      </c>
    </row>
    <row r="125" spans="1:8" x14ac:dyDescent="0.3">
      <c r="A125" s="14" t="s">
        <v>30</v>
      </c>
      <c r="B125" s="5">
        <v>2016</v>
      </c>
      <c r="C125" s="5" t="s">
        <v>38</v>
      </c>
      <c r="D125" s="5">
        <v>1748.6</v>
      </c>
      <c r="E125" s="5">
        <v>128</v>
      </c>
      <c r="F125" s="5">
        <v>116.3</v>
      </c>
      <c r="G125" s="5">
        <v>130.19999999999999</v>
      </c>
      <c r="H125" s="15">
        <v>126.2</v>
      </c>
    </row>
    <row r="126" spans="1:8" x14ac:dyDescent="0.3">
      <c r="A126" s="14" t="s">
        <v>32</v>
      </c>
      <c r="B126" s="5">
        <v>2016</v>
      </c>
      <c r="C126" s="5" t="s">
        <v>38</v>
      </c>
      <c r="D126" s="5">
        <v>1787.0000000000002</v>
      </c>
      <c r="E126" s="5">
        <v>115.5</v>
      </c>
      <c r="F126" s="5">
        <v>112.3</v>
      </c>
      <c r="G126" s="5">
        <v>129.30000000000001</v>
      </c>
      <c r="H126" s="15">
        <v>120.6</v>
      </c>
    </row>
    <row r="127" spans="1:8" x14ac:dyDescent="0.3">
      <c r="A127" s="14" t="s">
        <v>33</v>
      </c>
      <c r="B127" s="5">
        <v>2016</v>
      </c>
      <c r="C127" s="5" t="s">
        <v>38</v>
      </c>
      <c r="D127" s="5">
        <v>1760.6</v>
      </c>
      <c r="E127" s="5">
        <v>123.3</v>
      </c>
      <c r="F127" s="5">
        <v>114.2</v>
      </c>
      <c r="G127" s="5">
        <v>129.69999999999999</v>
      </c>
      <c r="H127" s="15">
        <v>124.1</v>
      </c>
    </row>
    <row r="128" spans="1:8" x14ac:dyDescent="0.3">
      <c r="A128" s="14" t="s">
        <v>30</v>
      </c>
      <c r="B128" s="5">
        <v>2016</v>
      </c>
      <c r="C128" s="5" t="s">
        <v>39</v>
      </c>
      <c r="D128" s="5">
        <v>1770.2999999999997</v>
      </c>
      <c r="E128" s="5">
        <v>128.19999999999999</v>
      </c>
      <c r="F128" s="5">
        <v>116.4</v>
      </c>
      <c r="G128" s="5">
        <v>130.80000000000001</v>
      </c>
      <c r="H128" s="15">
        <v>126.7</v>
      </c>
    </row>
    <row r="129" spans="1:8" x14ac:dyDescent="0.3">
      <c r="A129" s="14" t="s">
        <v>32</v>
      </c>
      <c r="B129" s="5">
        <v>2016</v>
      </c>
      <c r="C129" s="5" t="s">
        <v>39</v>
      </c>
      <c r="D129" s="5">
        <v>1811.5000000000002</v>
      </c>
      <c r="E129" s="5">
        <v>115.5</v>
      </c>
      <c r="F129" s="5">
        <v>111.7</v>
      </c>
      <c r="G129" s="5">
        <v>130.80000000000001</v>
      </c>
      <c r="H129" s="15">
        <v>120.9</v>
      </c>
    </row>
    <row r="130" spans="1:8" x14ac:dyDescent="0.3">
      <c r="A130" s="14" t="s">
        <v>33</v>
      </c>
      <c r="B130" s="5">
        <v>2016</v>
      </c>
      <c r="C130" s="5" t="s">
        <v>39</v>
      </c>
      <c r="D130" s="5">
        <v>1783.5</v>
      </c>
      <c r="E130" s="5">
        <v>123.4</v>
      </c>
      <c r="F130" s="5">
        <v>113.9</v>
      </c>
      <c r="G130" s="5">
        <v>130.80000000000001</v>
      </c>
      <c r="H130" s="15">
        <v>124.5</v>
      </c>
    </row>
    <row r="131" spans="1:8" x14ac:dyDescent="0.3">
      <c r="A131" s="14" t="s">
        <v>30</v>
      </c>
      <c r="B131" s="5">
        <v>2016</v>
      </c>
      <c r="C131" s="5" t="s">
        <v>40</v>
      </c>
      <c r="D131" s="5">
        <v>1777.4999999999998</v>
      </c>
      <c r="E131" s="5">
        <v>129.1</v>
      </c>
      <c r="F131" s="5">
        <v>116</v>
      </c>
      <c r="G131" s="5">
        <v>131.9</v>
      </c>
      <c r="H131" s="15">
        <v>127</v>
      </c>
    </row>
    <row r="132" spans="1:8" x14ac:dyDescent="0.3">
      <c r="A132" s="14" t="s">
        <v>32</v>
      </c>
      <c r="B132" s="5">
        <v>2016</v>
      </c>
      <c r="C132" s="5" t="s">
        <v>40</v>
      </c>
      <c r="D132" s="5">
        <v>1783.9999999999995</v>
      </c>
      <c r="E132" s="5">
        <v>114.7</v>
      </c>
      <c r="F132" s="5">
        <v>110.4</v>
      </c>
      <c r="G132" s="5">
        <v>131.5</v>
      </c>
      <c r="H132" s="15">
        <v>121.2</v>
      </c>
    </row>
    <row r="133" spans="1:8" x14ac:dyDescent="0.3">
      <c r="A133" s="14" t="s">
        <v>33</v>
      </c>
      <c r="B133" s="5">
        <v>2016</v>
      </c>
      <c r="C133" s="5" t="s">
        <v>40</v>
      </c>
      <c r="D133" s="5">
        <v>1777.9</v>
      </c>
      <c r="E133" s="5">
        <v>123.6</v>
      </c>
      <c r="F133" s="5">
        <v>113.1</v>
      </c>
      <c r="G133" s="5">
        <v>131.69999999999999</v>
      </c>
      <c r="H133" s="15">
        <v>124.8</v>
      </c>
    </row>
    <row r="134" spans="1:8" x14ac:dyDescent="0.3">
      <c r="A134" s="14" t="s">
        <v>30</v>
      </c>
      <c r="B134" s="5">
        <v>2016</v>
      </c>
      <c r="C134" s="5" t="s">
        <v>41</v>
      </c>
      <c r="D134" s="5">
        <v>1770.7</v>
      </c>
      <c r="E134" s="5">
        <v>129.69999999999999</v>
      </c>
      <c r="F134" s="5">
        <v>117</v>
      </c>
      <c r="G134" s="5">
        <v>132.19999999999999</v>
      </c>
      <c r="H134" s="15">
        <v>127.8</v>
      </c>
    </row>
    <row r="135" spans="1:8" x14ac:dyDescent="0.3">
      <c r="A135" s="14" t="s">
        <v>32</v>
      </c>
      <c r="B135" s="5">
        <v>2016</v>
      </c>
      <c r="C135" s="5" t="s">
        <v>41</v>
      </c>
      <c r="D135" s="5">
        <v>1756.3999999999996</v>
      </c>
      <c r="E135" s="5">
        <v>114.8</v>
      </c>
      <c r="F135" s="5">
        <v>111.8</v>
      </c>
      <c r="G135" s="5">
        <v>131.6</v>
      </c>
      <c r="H135" s="15">
        <v>121.4</v>
      </c>
    </row>
    <row r="136" spans="1:8" x14ac:dyDescent="0.3">
      <c r="A136" s="14" t="s">
        <v>33</v>
      </c>
      <c r="B136" s="5">
        <v>2016</v>
      </c>
      <c r="C136" s="5" t="s">
        <v>41</v>
      </c>
      <c r="D136" s="5">
        <v>1763.6999999999998</v>
      </c>
      <c r="E136" s="5">
        <v>124.1</v>
      </c>
      <c r="F136" s="5">
        <v>114.3</v>
      </c>
      <c r="G136" s="5">
        <v>131.80000000000001</v>
      </c>
      <c r="H136" s="15">
        <v>125.4</v>
      </c>
    </row>
    <row r="137" spans="1:8" x14ac:dyDescent="0.3">
      <c r="A137" s="14" t="s">
        <v>30</v>
      </c>
      <c r="B137" s="5">
        <v>2016</v>
      </c>
      <c r="C137" s="5" t="s">
        <v>42</v>
      </c>
      <c r="D137" s="5">
        <v>1771.8000000000002</v>
      </c>
      <c r="E137" s="5">
        <v>129.80000000000001</v>
      </c>
      <c r="F137" s="5">
        <v>117.8</v>
      </c>
      <c r="G137" s="5">
        <v>133</v>
      </c>
      <c r="H137" s="15">
        <v>128.69999999999999</v>
      </c>
    </row>
    <row r="138" spans="1:8" x14ac:dyDescent="0.3">
      <c r="A138" s="14" t="s">
        <v>32</v>
      </c>
      <c r="B138" s="5">
        <v>2016</v>
      </c>
      <c r="C138" s="5" t="s">
        <v>42</v>
      </c>
      <c r="D138" s="5">
        <v>1762.8999999999999</v>
      </c>
      <c r="E138" s="5">
        <v>115.2</v>
      </c>
      <c r="F138" s="5">
        <v>112.8</v>
      </c>
      <c r="G138" s="5">
        <v>131.9</v>
      </c>
      <c r="H138" s="15">
        <v>121.8</v>
      </c>
    </row>
    <row r="139" spans="1:8" x14ac:dyDescent="0.3">
      <c r="A139" s="14" t="s">
        <v>33</v>
      </c>
      <c r="B139" s="5">
        <v>2016</v>
      </c>
      <c r="C139" s="5" t="s">
        <v>42</v>
      </c>
      <c r="D139" s="5">
        <v>1766.7999999999995</v>
      </c>
      <c r="E139" s="5">
        <v>124.3</v>
      </c>
      <c r="F139" s="5">
        <v>115.2</v>
      </c>
      <c r="G139" s="5">
        <v>132.4</v>
      </c>
      <c r="H139" s="15">
        <v>126.1</v>
      </c>
    </row>
    <row r="140" spans="1:8" x14ac:dyDescent="0.3">
      <c r="A140" s="14" t="s">
        <v>30</v>
      </c>
      <c r="B140" s="5">
        <v>2016</v>
      </c>
      <c r="C140" s="5" t="s">
        <v>44</v>
      </c>
      <c r="D140" s="5">
        <v>1764.6</v>
      </c>
      <c r="E140" s="5">
        <v>130.30000000000001</v>
      </c>
      <c r="F140" s="5">
        <v>118.2</v>
      </c>
      <c r="G140" s="5">
        <v>133.69999999999999</v>
      </c>
      <c r="H140" s="15">
        <v>129.1</v>
      </c>
    </row>
    <row r="141" spans="1:8" x14ac:dyDescent="0.3">
      <c r="A141" s="14" t="s">
        <v>32</v>
      </c>
      <c r="B141" s="5">
        <v>2016</v>
      </c>
      <c r="C141" s="5" t="s">
        <v>44</v>
      </c>
      <c r="D141" s="5">
        <v>1755.2</v>
      </c>
      <c r="E141" s="5">
        <v>116.2</v>
      </c>
      <c r="F141" s="5">
        <v>113.4</v>
      </c>
      <c r="G141" s="5">
        <v>132.1</v>
      </c>
      <c r="H141" s="15">
        <v>122.1</v>
      </c>
    </row>
    <row r="142" spans="1:8" x14ac:dyDescent="0.3">
      <c r="A142" s="14" t="s">
        <v>33</v>
      </c>
      <c r="B142" s="5">
        <v>2016</v>
      </c>
      <c r="C142" s="5" t="s">
        <v>44</v>
      </c>
      <c r="D142" s="5">
        <v>1759.8</v>
      </c>
      <c r="E142" s="5">
        <v>125</v>
      </c>
      <c r="F142" s="5">
        <v>115.7</v>
      </c>
      <c r="G142" s="5">
        <v>132.80000000000001</v>
      </c>
      <c r="H142" s="15">
        <v>126.4</v>
      </c>
    </row>
    <row r="143" spans="1:8" x14ac:dyDescent="0.3">
      <c r="A143" s="14" t="s">
        <v>30</v>
      </c>
      <c r="B143" s="5">
        <v>2016</v>
      </c>
      <c r="C143" s="5" t="s">
        <v>45</v>
      </c>
      <c r="D143" s="5">
        <v>1749.1</v>
      </c>
      <c r="E143" s="5">
        <v>132</v>
      </c>
      <c r="F143" s="5">
        <v>118.6</v>
      </c>
      <c r="G143" s="5">
        <v>134.19999999999999</v>
      </c>
      <c r="H143" s="15">
        <v>129.69999999999999</v>
      </c>
    </row>
    <row r="144" spans="1:8" x14ac:dyDescent="0.3">
      <c r="A144" s="14" t="s">
        <v>32</v>
      </c>
      <c r="B144" s="5">
        <v>2016</v>
      </c>
      <c r="C144" s="5" t="s">
        <v>45</v>
      </c>
      <c r="D144" s="5">
        <v>1729.8</v>
      </c>
      <c r="E144" s="5">
        <v>117.8</v>
      </c>
      <c r="F144" s="5">
        <v>113.7</v>
      </c>
      <c r="G144" s="5">
        <v>132.30000000000001</v>
      </c>
      <c r="H144" s="15">
        <v>122.3</v>
      </c>
    </row>
    <row r="145" spans="1:8" x14ac:dyDescent="0.3">
      <c r="A145" s="14" t="s">
        <v>33</v>
      </c>
      <c r="B145" s="5">
        <v>2016</v>
      </c>
      <c r="C145" s="5" t="s">
        <v>45</v>
      </c>
      <c r="D145" s="5">
        <v>1740.7</v>
      </c>
      <c r="E145" s="5">
        <v>126.6</v>
      </c>
      <c r="F145" s="5">
        <v>116</v>
      </c>
      <c r="G145" s="5">
        <v>133.1</v>
      </c>
      <c r="H145" s="15">
        <v>126.9</v>
      </c>
    </row>
    <row r="146" spans="1:8" x14ac:dyDescent="0.3">
      <c r="A146" s="14" t="s">
        <v>30</v>
      </c>
      <c r="B146" s="5">
        <v>2017</v>
      </c>
      <c r="C146" s="5" t="s">
        <v>31</v>
      </c>
      <c r="D146" s="5">
        <v>1737.3000000000002</v>
      </c>
      <c r="E146" s="5">
        <v>132.1</v>
      </c>
      <c r="F146" s="5">
        <v>119.1</v>
      </c>
      <c r="G146" s="5">
        <v>134.6</v>
      </c>
      <c r="H146" s="15">
        <v>129.9</v>
      </c>
    </row>
    <row r="147" spans="1:8" x14ac:dyDescent="0.3">
      <c r="A147" s="14" t="s">
        <v>32</v>
      </c>
      <c r="B147" s="5">
        <v>2017</v>
      </c>
      <c r="C147" s="5" t="s">
        <v>31</v>
      </c>
      <c r="D147" s="5">
        <v>1713.2</v>
      </c>
      <c r="E147" s="5">
        <v>118</v>
      </c>
      <c r="F147" s="5">
        <v>115.2</v>
      </c>
      <c r="G147" s="5">
        <v>132.4</v>
      </c>
      <c r="H147" s="15">
        <v>122.6</v>
      </c>
    </row>
    <row r="148" spans="1:8" x14ac:dyDescent="0.3">
      <c r="A148" s="14" t="s">
        <v>33</v>
      </c>
      <c r="B148" s="5">
        <v>2017</v>
      </c>
      <c r="C148" s="5" t="s">
        <v>31</v>
      </c>
      <c r="D148" s="5">
        <v>1727.2999999999995</v>
      </c>
      <c r="E148" s="5">
        <v>126.8</v>
      </c>
      <c r="F148" s="5">
        <v>117</v>
      </c>
      <c r="G148" s="5">
        <v>133.30000000000001</v>
      </c>
      <c r="H148" s="15">
        <v>127.1</v>
      </c>
    </row>
    <row r="149" spans="1:8" x14ac:dyDescent="0.3">
      <c r="A149" s="14" t="s">
        <v>30</v>
      </c>
      <c r="B149" s="5">
        <v>2017</v>
      </c>
      <c r="C149" s="5" t="s">
        <v>34</v>
      </c>
      <c r="D149" s="5">
        <v>1734.5000000000002</v>
      </c>
      <c r="E149" s="5">
        <v>133.19999999999999</v>
      </c>
      <c r="F149" s="5">
        <v>119.5</v>
      </c>
      <c r="G149" s="5">
        <v>134.9</v>
      </c>
      <c r="H149" s="15">
        <v>130.1</v>
      </c>
    </row>
    <row r="150" spans="1:8" x14ac:dyDescent="0.3">
      <c r="A150" s="14" t="s">
        <v>32</v>
      </c>
      <c r="B150" s="5">
        <v>2017</v>
      </c>
      <c r="C150" s="5" t="s">
        <v>34</v>
      </c>
      <c r="D150" s="5">
        <v>1705.3000000000002</v>
      </c>
      <c r="E150" s="5">
        <v>119.2</v>
      </c>
      <c r="F150" s="5">
        <v>115.5</v>
      </c>
      <c r="G150" s="5">
        <v>132.4</v>
      </c>
      <c r="H150" s="15">
        <v>122.9</v>
      </c>
    </row>
    <row r="151" spans="1:8" x14ac:dyDescent="0.3">
      <c r="A151" s="14" t="s">
        <v>33</v>
      </c>
      <c r="B151" s="5">
        <v>2017</v>
      </c>
      <c r="C151" s="5" t="s">
        <v>34</v>
      </c>
      <c r="D151" s="5">
        <v>1722.3000000000002</v>
      </c>
      <c r="E151" s="5">
        <v>127.9</v>
      </c>
      <c r="F151" s="5">
        <v>117.4</v>
      </c>
      <c r="G151" s="5">
        <v>133.4</v>
      </c>
      <c r="H151" s="15">
        <v>127.4</v>
      </c>
    </row>
    <row r="152" spans="1:8" x14ac:dyDescent="0.3">
      <c r="A152" s="14" t="s">
        <v>30</v>
      </c>
      <c r="B152" s="5">
        <v>2017</v>
      </c>
      <c r="C152" s="5" t="s">
        <v>35</v>
      </c>
      <c r="D152" s="5">
        <v>1728.5000000000002</v>
      </c>
      <c r="E152" s="5">
        <v>134.19999999999999</v>
      </c>
      <c r="F152" s="5">
        <v>119.8</v>
      </c>
      <c r="G152" s="5">
        <v>135.19999999999999</v>
      </c>
      <c r="H152" s="15">
        <v>130.6</v>
      </c>
    </row>
    <row r="153" spans="1:8" x14ac:dyDescent="0.3">
      <c r="A153" s="14" t="s">
        <v>32</v>
      </c>
      <c r="B153" s="5">
        <v>2017</v>
      </c>
      <c r="C153" s="5" t="s">
        <v>35</v>
      </c>
      <c r="D153" s="5">
        <v>1705.6999999999998</v>
      </c>
      <c r="E153" s="5">
        <v>120.8</v>
      </c>
      <c r="F153" s="5">
        <v>115.6</v>
      </c>
      <c r="G153" s="5">
        <v>132.80000000000001</v>
      </c>
      <c r="H153" s="15">
        <v>123.1</v>
      </c>
    </row>
    <row r="154" spans="1:8" x14ac:dyDescent="0.3">
      <c r="A154" s="14" t="s">
        <v>33</v>
      </c>
      <c r="B154" s="5">
        <v>2017</v>
      </c>
      <c r="C154" s="5" t="s">
        <v>35</v>
      </c>
      <c r="D154" s="5">
        <v>1718.9</v>
      </c>
      <c r="E154" s="5">
        <v>129.1</v>
      </c>
      <c r="F154" s="5">
        <v>117.6</v>
      </c>
      <c r="G154" s="5">
        <v>133.80000000000001</v>
      </c>
      <c r="H154" s="15">
        <v>127.8</v>
      </c>
    </row>
    <row r="155" spans="1:8" x14ac:dyDescent="0.3">
      <c r="A155" s="14" t="s">
        <v>30</v>
      </c>
      <c r="B155" s="5">
        <v>2017</v>
      </c>
      <c r="C155" s="5" t="s">
        <v>36</v>
      </c>
      <c r="D155" s="5">
        <v>1726.3</v>
      </c>
      <c r="E155" s="5">
        <v>135</v>
      </c>
      <c r="F155" s="5">
        <v>119.2</v>
      </c>
      <c r="G155" s="5">
        <v>135.69999999999999</v>
      </c>
      <c r="H155" s="15">
        <v>131</v>
      </c>
    </row>
    <row r="156" spans="1:8" x14ac:dyDescent="0.3">
      <c r="A156" s="14" t="s">
        <v>32</v>
      </c>
      <c r="B156" s="5">
        <v>2017</v>
      </c>
      <c r="C156" s="5" t="s">
        <v>36</v>
      </c>
      <c r="D156" s="5">
        <v>1708.1</v>
      </c>
      <c r="E156" s="5">
        <v>121.4</v>
      </c>
      <c r="F156" s="5">
        <v>114.3</v>
      </c>
      <c r="G156" s="5">
        <v>133.6</v>
      </c>
      <c r="H156" s="15">
        <v>123.4</v>
      </c>
    </row>
    <row r="157" spans="1:8" x14ac:dyDescent="0.3">
      <c r="A157" s="14" t="s">
        <v>33</v>
      </c>
      <c r="B157" s="5">
        <v>2017</v>
      </c>
      <c r="C157" s="5" t="s">
        <v>36</v>
      </c>
      <c r="D157" s="5">
        <v>1718.4</v>
      </c>
      <c r="E157" s="5">
        <v>129.80000000000001</v>
      </c>
      <c r="F157" s="5">
        <v>116.6</v>
      </c>
      <c r="G157" s="5">
        <v>134.5</v>
      </c>
      <c r="H157" s="15">
        <v>128.1</v>
      </c>
    </row>
    <row r="158" spans="1:8" x14ac:dyDescent="0.3">
      <c r="A158" s="14" t="s">
        <v>30</v>
      </c>
      <c r="B158" s="5">
        <v>2017</v>
      </c>
      <c r="C158" s="5" t="s">
        <v>37</v>
      </c>
      <c r="D158" s="5">
        <v>1727.4999999999995</v>
      </c>
      <c r="E158" s="5">
        <v>135</v>
      </c>
      <c r="F158" s="5">
        <v>119.4</v>
      </c>
      <c r="G158" s="5">
        <v>136.30000000000001</v>
      </c>
      <c r="H158" s="15">
        <v>131.4</v>
      </c>
    </row>
    <row r="159" spans="1:8" x14ac:dyDescent="0.3">
      <c r="A159" s="14" t="s">
        <v>32</v>
      </c>
      <c r="B159" s="5">
        <v>2017</v>
      </c>
      <c r="C159" s="5" t="s">
        <v>37</v>
      </c>
      <c r="D159" s="5">
        <v>1709.6</v>
      </c>
      <c r="E159" s="5">
        <v>120.1</v>
      </c>
      <c r="F159" s="5">
        <v>114.3</v>
      </c>
      <c r="G159" s="5">
        <v>133.80000000000001</v>
      </c>
      <c r="H159" s="15">
        <v>123.6</v>
      </c>
    </row>
    <row r="160" spans="1:8" x14ac:dyDescent="0.3">
      <c r="A160" s="14" t="s">
        <v>33</v>
      </c>
      <c r="B160" s="5">
        <v>2017</v>
      </c>
      <c r="C160" s="5" t="s">
        <v>37</v>
      </c>
      <c r="D160" s="5">
        <v>1719.6000000000001</v>
      </c>
      <c r="E160" s="5">
        <v>129.4</v>
      </c>
      <c r="F160" s="5">
        <v>116.7</v>
      </c>
      <c r="G160" s="5">
        <v>134.80000000000001</v>
      </c>
      <c r="H160" s="15">
        <v>128.4</v>
      </c>
    </row>
    <row r="161" spans="1:8" x14ac:dyDescent="0.3">
      <c r="A161" s="14" t="s">
        <v>30</v>
      </c>
      <c r="B161" s="5">
        <v>2017</v>
      </c>
      <c r="C161" s="5" t="s">
        <v>38</v>
      </c>
      <c r="D161" s="5">
        <v>1738.8000000000002</v>
      </c>
      <c r="E161" s="5">
        <v>134.80000000000001</v>
      </c>
      <c r="F161" s="5">
        <v>119.4</v>
      </c>
      <c r="G161" s="5">
        <v>136.9</v>
      </c>
      <c r="H161" s="15">
        <v>131.30000000000001</v>
      </c>
    </row>
    <row r="162" spans="1:8" x14ac:dyDescent="0.3">
      <c r="A162" s="14" t="s">
        <v>32</v>
      </c>
      <c r="B162" s="5">
        <v>2017</v>
      </c>
      <c r="C162" s="5" t="s">
        <v>38</v>
      </c>
      <c r="D162" s="5">
        <v>1731.0000000000002</v>
      </c>
      <c r="E162" s="5">
        <v>119</v>
      </c>
      <c r="F162" s="5">
        <v>113.9</v>
      </c>
      <c r="G162" s="5">
        <v>134.30000000000001</v>
      </c>
      <c r="H162" s="15">
        <v>123.8</v>
      </c>
    </row>
    <row r="163" spans="1:8" x14ac:dyDescent="0.3">
      <c r="A163" s="14" t="s">
        <v>33</v>
      </c>
      <c r="B163" s="5">
        <v>2017</v>
      </c>
      <c r="C163" s="5" t="s">
        <v>38</v>
      </c>
      <c r="D163" s="5">
        <v>1734.7</v>
      </c>
      <c r="E163" s="5">
        <v>128.80000000000001</v>
      </c>
      <c r="F163" s="5">
        <v>116.5</v>
      </c>
      <c r="G163" s="5">
        <v>135.4</v>
      </c>
      <c r="H163" s="15">
        <v>128.5</v>
      </c>
    </row>
    <row r="164" spans="1:8" x14ac:dyDescent="0.3">
      <c r="A164" s="14" t="s">
        <v>30</v>
      </c>
      <c r="B164" s="5">
        <v>2017</v>
      </c>
      <c r="C164" s="5" t="s">
        <v>39</v>
      </c>
      <c r="D164" s="5">
        <v>1772.9</v>
      </c>
      <c r="E164" s="5">
        <v>135.30000000000001</v>
      </c>
      <c r="F164" s="5">
        <v>119.1</v>
      </c>
      <c r="G164" s="5">
        <v>138.6</v>
      </c>
      <c r="H164" s="15">
        <v>132.1</v>
      </c>
    </row>
    <row r="165" spans="1:8" x14ac:dyDescent="0.3">
      <c r="A165" s="14" t="s">
        <v>32</v>
      </c>
      <c r="B165" s="5">
        <v>2017</v>
      </c>
      <c r="C165" s="5" t="s">
        <v>39</v>
      </c>
      <c r="D165" s="5">
        <v>1768.1</v>
      </c>
      <c r="E165" s="5">
        <v>119.7</v>
      </c>
      <c r="F165" s="5">
        <v>113.2</v>
      </c>
      <c r="G165" s="5">
        <v>135.5</v>
      </c>
      <c r="H165" s="15">
        <v>125</v>
      </c>
    </row>
    <row r="166" spans="1:8" x14ac:dyDescent="0.3">
      <c r="A166" s="14" t="s">
        <v>33</v>
      </c>
      <c r="B166" s="5">
        <v>2017</v>
      </c>
      <c r="C166" s="5" t="s">
        <v>39</v>
      </c>
      <c r="D166" s="5">
        <v>1769.3999999999999</v>
      </c>
      <c r="E166" s="5">
        <v>129.4</v>
      </c>
      <c r="F166" s="5">
        <v>116</v>
      </c>
      <c r="G166" s="5">
        <v>136.80000000000001</v>
      </c>
      <c r="H166" s="15">
        <v>129.4</v>
      </c>
    </row>
    <row r="167" spans="1:8" x14ac:dyDescent="0.3">
      <c r="A167" s="14" t="s">
        <v>30</v>
      </c>
      <c r="B167" s="5">
        <v>2017</v>
      </c>
      <c r="C167" s="5" t="s">
        <v>40</v>
      </c>
      <c r="D167" s="5">
        <v>1792.4999999999998</v>
      </c>
      <c r="E167" s="5">
        <v>136.4</v>
      </c>
      <c r="F167" s="5">
        <v>120.3</v>
      </c>
      <c r="G167" s="5">
        <v>140.19999999999999</v>
      </c>
      <c r="H167" s="15">
        <v>133</v>
      </c>
    </row>
    <row r="168" spans="1:8" x14ac:dyDescent="0.3">
      <c r="A168" s="14" t="s">
        <v>32</v>
      </c>
      <c r="B168" s="5">
        <v>2017</v>
      </c>
      <c r="C168" s="5" t="s">
        <v>40</v>
      </c>
      <c r="D168" s="5">
        <v>1772.9999999999998</v>
      </c>
      <c r="E168" s="5">
        <v>118.9</v>
      </c>
      <c r="F168" s="5">
        <v>114.6</v>
      </c>
      <c r="G168" s="5">
        <v>135.69999999999999</v>
      </c>
      <c r="H168" s="15">
        <v>125.7</v>
      </c>
    </row>
    <row r="169" spans="1:8" x14ac:dyDescent="0.3">
      <c r="A169" s="14" t="s">
        <v>33</v>
      </c>
      <c r="B169" s="5">
        <v>2017</v>
      </c>
      <c r="C169" s="5" t="s">
        <v>40</v>
      </c>
      <c r="D169" s="5">
        <v>1783.8</v>
      </c>
      <c r="E169" s="5">
        <v>129.80000000000001</v>
      </c>
      <c r="F169" s="5">
        <v>117.3</v>
      </c>
      <c r="G169" s="5">
        <v>137.6</v>
      </c>
      <c r="H169" s="15">
        <v>130.19999999999999</v>
      </c>
    </row>
    <row r="170" spans="1:8" x14ac:dyDescent="0.3">
      <c r="A170" s="14" t="s">
        <v>30</v>
      </c>
      <c r="B170" s="5">
        <v>2017</v>
      </c>
      <c r="C170" s="5" t="s">
        <v>41</v>
      </c>
      <c r="D170" s="5">
        <v>1784.3</v>
      </c>
      <c r="E170" s="5">
        <v>137.4</v>
      </c>
      <c r="F170" s="5">
        <v>121.2</v>
      </c>
      <c r="G170" s="5">
        <v>139.6</v>
      </c>
      <c r="H170" s="15">
        <v>133.4</v>
      </c>
    </row>
    <row r="171" spans="1:8" x14ac:dyDescent="0.3">
      <c r="A171" s="14" t="s">
        <v>32</v>
      </c>
      <c r="B171" s="5">
        <v>2017</v>
      </c>
      <c r="C171" s="5" t="s">
        <v>41</v>
      </c>
      <c r="D171" s="5">
        <v>1749.7</v>
      </c>
      <c r="E171" s="5">
        <v>120.6</v>
      </c>
      <c r="F171" s="5">
        <v>115.7</v>
      </c>
      <c r="G171" s="5">
        <v>135.9</v>
      </c>
      <c r="H171" s="15">
        <v>126.1</v>
      </c>
    </row>
    <row r="172" spans="1:8" x14ac:dyDescent="0.3">
      <c r="A172" s="14" t="s">
        <v>33</v>
      </c>
      <c r="B172" s="5">
        <v>2017</v>
      </c>
      <c r="C172" s="5" t="s">
        <v>41</v>
      </c>
      <c r="D172" s="5">
        <v>1769.9999999999998</v>
      </c>
      <c r="E172" s="5">
        <v>131</v>
      </c>
      <c r="F172" s="5">
        <v>118.3</v>
      </c>
      <c r="G172" s="5">
        <v>137.4</v>
      </c>
      <c r="H172" s="15">
        <v>130.6</v>
      </c>
    </row>
    <row r="173" spans="1:8" x14ac:dyDescent="0.3">
      <c r="A173" s="14" t="s">
        <v>30</v>
      </c>
      <c r="B173" s="5">
        <v>2017</v>
      </c>
      <c r="C173" s="5" t="s">
        <v>42</v>
      </c>
      <c r="D173" s="5">
        <v>1790.8999999999999</v>
      </c>
      <c r="E173" s="5">
        <v>138.1</v>
      </c>
      <c r="F173" s="5">
        <v>121</v>
      </c>
      <c r="G173" s="5">
        <v>140.1</v>
      </c>
      <c r="H173" s="15">
        <v>134.19999999999999</v>
      </c>
    </row>
    <row r="174" spans="1:8" x14ac:dyDescent="0.3">
      <c r="A174" s="14" t="s">
        <v>32</v>
      </c>
      <c r="B174" s="5">
        <v>2017</v>
      </c>
      <c r="C174" s="5" t="s">
        <v>42</v>
      </c>
      <c r="D174" s="5">
        <v>1765.6999999999998</v>
      </c>
      <c r="E174" s="5">
        <v>122.6</v>
      </c>
      <c r="F174" s="5">
        <v>115</v>
      </c>
      <c r="G174" s="5">
        <v>136.30000000000001</v>
      </c>
      <c r="H174" s="15">
        <v>126.6</v>
      </c>
    </row>
    <row r="175" spans="1:8" x14ac:dyDescent="0.3">
      <c r="A175" s="14" t="s">
        <v>33</v>
      </c>
      <c r="B175" s="5">
        <v>2017</v>
      </c>
      <c r="C175" s="5" t="s">
        <v>42</v>
      </c>
      <c r="D175" s="5">
        <v>1779.6999999999998</v>
      </c>
      <c r="E175" s="5">
        <v>132.19999999999999</v>
      </c>
      <c r="F175" s="5">
        <v>117.8</v>
      </c>
      <c r="G175" s="5">
        <v>137.9</v>
      </c>
      <c r="H175" s="15">
        <v>131.30000000000001</v>
      </c>
    </row>
    <row r="176" spans="1:8" x14ac:dyDescent="0.3">
      <c r="A176" s="14" t="s">
        <v>30</v>
      </c>
      <c r="B176" s="5">
        <v>2017</v>
      </c>
      <c r="C176" s="5" t="s">
        <v>44</v>
      </c>
      <c r="D176" s="5">
        <v>1817.7000000000003</v>
      </c>
      <c r="E176" s="5">
        <v>141.1</v>
      </c>
      <c r="F176" s="5">
        <v>121.6</v>
      </c>
      <c r="G176" s="5">
        <v>141.5</v>
      </c>
      <c r="H176" s="15">
        <v>135.80000000000001</v>
      </c>
    </row>
    <row r="177" spans="1:8" x14ac:dyDescent="0.3">
      <c r="A177" s="14" t="s">
        <v>32</v>
      </c>
      <c r="B177" s="5">
        <v>2017</v>
      </c>
      <c r="C177" s="5" t="s">
        <v>44</v>
      </c>
      <c r="D177" s="5">
        <v>1796.7</v>
      </c>
      <c r="E177" s="5">
        <v>125.7</v>
      </c>
      <c r="F177" s="5">
        <v>115.3</v>
      </c>
      <c r="G177" s="5">
        <v>136.6</v>
      </c>
      <c r="H177" s="15">
        <v>127.4</v>
      </c>
    </row>
    <row r="178" spans="1:8" x14ac:dyDescent="0.3">
      <c r="A178" s="14" t="s">
        <v>33</v>
      </c>
      <c r="B178" s="5">
        <v>2017</v>
      </c>
      <c r="C178" s="5" t="s">
        <v>44</v>
      </c>
      <c r="D178" s="5">
        <v>1808.2</v>
      </c>
      <c r="E178" s="5">
        <v>135.30000000000001</v>
      </c>
      <c r="F178" s="5">
        <v>118.3</v>
      </c>
      <c r="G178" s="5">
        <v>138.6</v>
      </c>
      <c r="H178" s="15">
        <v>132.6</v>
      </c>
    </row>
    <row r="179" spans="1:8" x14ac:dyDescent="0.3">
      <c r="A179" s="14" t="s">
        <v>30</v>
      </c>
      <c r="B179" s="5">
        <v>2017</v>
      </c>
      <c r="C179" s="5" t="s">
        <v>45</v>
      </c>
      <c r="D179" s="5">
        <v>1813.6000000000001</v>
      </c>
      <c r="E179" s="5">
        <v>142.6</v>
      </c>
      <c r="F179" s="5">
        <v>122</v>
      </c>
      <c r="G179" s="5">
        <v>141.1</v>
      </c>
      <c r="H179" s="15">
        <v>136.1</v>
      </c>
    </row>
    <row r="180" spans="1:8" x14ac:dyDescent="0.3">
      <c r="A180" s="14" t="s">
        <v>32</v>
      </c>
      <c r="B180" s="5">
        <v>2017</v>
      </c>
      <c r="C180" s="5" t="s">
        <v>45</v>
      </c>
      <c r="D180" s="5">
        <v>1767.5</v>
      </c>
      <c r="E180" s="5">
        <v>126.8</v>
      </c>
      <c r="F180" s="5">
        <v>115.3</v>
      </c>
      <c r="G180" s="5">
        <v>136.69999999999999</v>
      </c>
      <c r="H180" s="15">
        <v>128.19999999999999</v>
      </c>
    </row>
    <row r="181" spans="1:8" x14ac:dyDescent="0.3">
      <c r="A181" s="14" t="s">
        <v>33</v>
      </c>
      <c r="B181" s="5">
        <v>2017</v>
      </c>
      <c r="C181" s="5" t="s">
        <v>45</v>
      </c>
      <c r="D181" s="5">
        <v>1794.9999999999998</v>
      </c>
      <c r="E181" s="5">
        <v>136.6</v>
      </c>
      <c r="F181" s="5">
        <v>118.5</v>
      </c>
      <c r="G181" s="5">
        <v>138.5</v>
      </c>
      <c r="H181" s="15">
        <v>133.1</v>
      </c>
    </row>
    <row r="182" spans="1:8" x14ac:dyDescent="0.3">
      <c r="A182" s="14" t="s">
        <v>30</v>
      </c>
      <c r="B182" s="5">
        <v>2018</v>
      </c>
      <c r="C182" s="5" t="s">
        <v>31</v>
      </c>
      <c r="D182" s="5">
        <v>1800.7</v>
      </c>
      <c r="E182" s="5">
        <v>142.30000000000001</v>
      </c>
      <c r="F182" s="5">
        <v>122.7</v>
      </c>
      <c r="G182" s="5">
        <v>141.6</v>
      </c>
      <c r="H182" s="15">
        <v>136</v>
      </c>
    </row>
    <row r="183" spans="1:8" x14ac:dyDescent="0.3">
      <c r="A183" s="14" t="s">
        <v>32</v>
      </c>
      <c r="B183" s="5">
        <v>2018</v>
      </c>
      <c r="C183" s="5" t="s">
        <v>31</v>
      </c>
      <c r="D183" s="5">
        <v>1748.3000000000002</v>
      </c>
      <c r="E183" s="5">
        <v>127.3</v>
      </c>
      <c r="F183" s="5">
        <v>116.3</v>
      </c>
      <c r="G183" s="5">
        <v>137.1</v>
      </c>
      <c r="H183" s="15">
        <v>129</v>
      </c>
    </row>
    <row r="184" spans="1:8" x14ac:dyDescent="0.3">
      <c r="A184" s="14" t="s">
        <v>33</v>
      </c>
      <c r="B184" s="5">
        <v>2018</v>
      </c>
      <c r="C184" s="5" t="s">
        <v>31</v>
      </c>
      <c r="D184" s="5">
        <v>1779.9</v>
      </c>
      <c r="E184" s="5">
        <v>136.6</v>
      </c>
      <c r="F184" s="5">
        <v>119.3</v>
      </c>
      <c r="G184" s="5">
        <v>139</v>
      </c>
      <c r="H184" s="15">
        <v>133.30000000000001</v>
      </c>
    </row>
    <row r="185" spans="1:8" x14ac:dyDescent="0.3">
      <c r="A185" s="14" t="s">
        <v>30</v>
      </c>
      <c r="B185" s="5">
        <v>2018</v>
      </c>
      <c r="C185" s="5" t="s">
        <v>34</v>
      </c>
      <c r="D185" s="5">
        <v>1781.5</v>
      </c>
      <c r="E185" s="5">
        <v>142.4</v>
      </c>
      <c r="F185" s="5">
        <v>123.3</v>
      </c>
      <c r="G185" s="5">
        <v>141.5</v>
      </c>
      <c r="H185" s="15">
        <v>136.19999999999999</v>
      </c>
    </row>
    <row r="186" spans="1:8" x14ac:dyDescent="0.3">
      <c r="A186" s="14" t="s">
        <v>32</v>
      </c>
      <c r="B186" s="5">
        <v>2018</v>
      </c>
      <c r="C186" s="5" t="s">
        <v>34</v>
      </c>
      <c r="D186" s="5">
        <v>1727.9</v>
      </c>
      <c r="E186" s="5">
        <v>127.3</v>
      </c>
      <c r="F186" s="5">
        <v>117.4</v>
      </c>
      <c r="G186" s="5">
        <v>137.19999999999999</v>
      </c>
      <c r="H186" s="15">
        <v>129.80000000000001</v>
      </c>
    </row>
    <row r="187" spans="1:8" x14ac:dyDescent="0.3">
      <c r="A187" s="14" t="s">
        <v>33</v>
      </c>
      <c r="B187" s="5">
        <v>2018</v>
      </c>
      <c r="C187" s="5" t="s">
        <v>34</v>
      </c>
      <c r="D187" s="5">
        <v>1760.3999999999996</v>
      </c>
      <c r="E187" s="5">
        <v>136.69999999999999</v>
      </c>
      <c r="F187" s="5">
        <v>120.2</v>
      </c>
      <c r="G187" s="5">
        <v>139</v>
      </c>
      <c r="H187" s="15">
        <v>133.80000000000001</v>
      </c>
    </row>
    <row r="188" spans="1:8" x14ac:dyDescent="0.3">
      <c r="A188" s="14" t="s">
        <v>30</v>
      </c>
      <c r="B188" s="5">
        <v>2018</v>
      </c>
      <c r="C188" s="5" t="s">
        <v>35</v>
      </c>
      <c r="D188" s="5">
        <v>1781.9999999999998</v>
      </c>
      <c r="E188" s="5">
        <v>142.6</v>
      </c>
      <c r="F188" s="5">
        <v>124.6</v>
      </c>
      <c r="G188" s="5">
        <v>142.69999999999999</v>
      </c>
      <c r="H188" s="15">
        <v>136.69999999999999</v>
      </c>
    </row>
    <row r="189" spans="1:8" x14ac:dyDescent="0.3">
      <c r="A189" s="14" t="s">
        <v>32</v>
      </c>
      <c r="B189" s="5">
        <v>2018</v>
      </c>
      <c r="C189" s="5" t="s">
        <v>35</v>
      </c>
      <c r="D189" s="5">
        <v>1715.5</v>
      </c>
      <c r="E189" s="5">
        <v>126.4</v>
      </c>
      <c r="F189" s="5">
        <v>117.8</v>
      </c>
      <c r="G189" s="5">
        <v>137.80000000000001</v>
      </c>
      <c r="H189" s="15">
        <v>130.5</v>
      </c>
    </row>
    <row r="190" spans="1:8" x14ac:dyDescent="0.3">
      <c r="A190" s="14" t="s">
        <v>33</v>
      </c>
      <c r="B190" s="5">
        <v>2018</v>
      </c>
      <c r="C190" s="5" t="s">
        <v>35</v>
      </c>
      <c r="D190" s="5">
        <v>1756</v>
      </c>
      <c r="E190" s="5">
        <v>136.5</v>
      </c>
      <c r="F190" s="5">
        <v>121</v>
      </c>
      <c r="G190" s="5">
        <v>139.80000000000001</v>
      </c>
      <c r="H190" s="15">
        <v>134.30000000000001</v>
      </c>
    </row>
    <row r="191" spans="1:8" x14ac:dyDescent="0.3">
      <c r="A191" s="14" t="s">
        <v>30</v>
      </c>
      <c r="B191" s="5">
        <v>2018</v>
      </c>
      <c r="C191" s="5" t="s">
        <v>36</v>
      </c>
      <c r="D191" s="5">
        <v>1780</v>
      </c>
      <c r="E191" s="5">
        <v>143.80000000000001</v>
      </c>
      <c r="F191" s="5">
        <v>125.3</v>
      </c>
      <c r="G191" s="5">
        <v>143.69999999999999</v>
      </c>
      <c r="H191" s="15">
        <v>137.6</v>
      </c>
    </row>
    <row r="192" spans="1:8" x14ac:dyDescent="0.3">
      <c r="A192" s="14" t="s">
        <v>32</v>
      </c>
      <c r="B192" s="5">
        <v>2018</v>
      </c>
      <c r="C192" s="5" t="s">
        <v>36</v>
      </c>
      <c r="D192" s="5">
        <v>1720.0000000000002</v>
      </c>
      <c r="E192" s="5">
        <v>124.6</v>
      </c>
      <c r="F192" s="5">
        <v>118.9</v>
      </c>
      <c r="G192" s="5">
        <v>139.69999999999999</v>
      </c>
      <c r="H192" s="15">
        <v>131.30000000000001</v>
      </c>
    </row>
    <row r="193" spans="1:8" x14ac:dyDescent="0.3">
      <c r="A193" s="14" t="s">
        <v>33</v>
      </c>
      <c r="B193" s="5">
        <v>2018</v>
      </c>
      <c r="C193" s="5" t="s">
        <v>36</v>
      </c>
      <c r="D193" s="5">
        <v>1757.1000000000001</v>
      </c>
      <c r="E193" s="5">
        <v>136.5</v>
      </c>
      <c r="F193" s="5">
        <v>121.9</v>
      </c>
      <c r="G193" s="5">
        <v>141.4</v>
      </c>
      <c r="H193" s="15">
        <v>135.19999999999999</v>
      </c>
    </row>
    <row r="194" spans="1:8" x14ac:dyDescent="0.3">
      <c r="A194" s="14" t="s">
        <v>30</v>
      </c>
      <c r="B194" s="5">
        <v>2018</v>
      </c>
      <c r="C194" s="5" t="s">
        <v>37</v>
      </c>
      <c r="D194" s="5">
        <v>1782.4</v>
      </c>
      <c r="E194" s="5">
        <v>144.30000000000001</v>
      </c>
      <c r="F194" s="5">
        <v>126.4</v>
      </c>
      <c r="G194" s="5">
        <v>144.4</v>
      </c>
      <c r="H194" s="15">
        <v>138.4</v>
      </c>
    </row>
    <row r="195" spans="1:8" x14ac:dyDescent="0.3">
      <c r="A195" s="14" t="s">
        <v>32</v>
      </c>
      <c r="B195" s="5">
        <v>2018</v>
      </c>
      <c r="C195" s="5" t="s">
        <v>37</v>
      </c>
      <c r="D195" s="5">
        <v>1722.8999999999999</v>
      </c>
      <c r="E195" s="5">
        <v>124.7</v>
      </c>
      <c r="F195" s="5">
        <v>119.8</v>
      </c>
      <c r="G195" s="5">
        <v>140.4</v>
      </c>
      <c r="H195" s="15">
        <v>132</v>
      </c>
    </row>
    <row r="196" spans="1:8" x14ac:dyDescent="0.3">
      <c r="A196" s="14" t="s">
        <v>33</v>
      </c>
      <c r="B196" s="5">
        <v>2018</v>
      </c>
      <c r="C196" s="5" t="s">
        <v>37</v>
      </c>
      <c r="D196" s="5">
        <v>1759.8</v>
      </c>
      <c r="E196" s="5">
        <v>136.9</v>
      </c>
      <c r="F196" s="5">
        <v>122.9</v>
      </c>
      <c r="G196" s="5">
        <v>142.1</v>
      </c>
      <c r="H196" s="15">
        <v>136</v>
      </c>
    </row>
    <row r="197" spans="1:8" x14ac:dyDescent="0.3">
      <c r="A197" s="14" t="s">
        <v>30</v>
      </c>
      <c r="B197" s="5">
        <v>2018</v>
      </c>
      <c r="C197" s="5" t="s">
        <v>38</v>
      </c>
      <c r="D197" s="5">
        <v>1790.2999999999997</v>
      </c>
      <c r="E197" s="5">
        <v>145.1</v>
      </c>
      <c r="F197" s="5">
        <v>127.4</v>
      </c>
      <c r="G197" s="5">
        <v>145.1</v>
      </c>
      <c r="H197" s="15">
        <v>138.4</v>
      </c>
    </row>
    <row r="198" spans="1:8" x14ac:dyDescent="0.3">
      <c r="A198" s="14" t="s">
        <v>32</v>
      </c>
      <c r="B198" s="5">
        <v>2018</v>
      </c>
      <c r="C198" s="5" t="s">
        <v>38</v>
      </c>
      <c r="D198" s="5">
        <v>1747.3000000000002</v>
      </c>
      <c r="E198" s="5">
        <v>126.5</v>
      </c>
      <c r="F198" s="5">
        <v>120.4</v>
      </c>
      <c r="G198" s="5">
        <v>141.19999999999999</v>
      </c>
      <c r="H198" s="15">
        <v>132.6</v>
      </c>
    </row>
    <row r="199" spans="1:8" x14ac:dyDescent="0.3">
      <c r="A199" s="14" t="s">
        <v>33</v>
      </c>
      <c r="B199" s="5">
        <v>2018</v>
      </c>
      <c r="C199" s="5" t="s">
        <v>38</v>
      </c>
      <c r="D199" s="5">
        <v>1774.1000000000001</v>
      </c>
      <c r="E199" s="5">
        <v>138.1</v>
      </c>
      <c r="F199" s="5">
        <v>123.7</v>
      </c>
      <c r="G199" s="5">
        <v>142.80000000000001</v>
      </c>
      <c r="H199" s="15">
        <v>136.19999999999999</v>
      </c>
    </row>
    <row r="200" spans="1:8" x14ac:dyDescent="0.3">
      <c r="A200" s="14" t="s">
        <v>30</v>
      </c>
      <c r="B200" s="5">
        <v>2018</v>
      </c>
      <c r="C200" s="5" t="s">
        <v>39</v>
      </c>
      <c r="D200" s="5">
        <v>1810.5000000000002</v>
      </c>
      <c r="E200" s="5">
        <v>146.80000000000001</v>
      </c>
      <c r="F200" s="5">
        <v>127.5</v>
      </c>
      <c r="G200" s="5">
        <v>145.80000000000001</v>
      </c>
      <c r="H200" s="15">
        <v>139</v>
      </c>
    </row>
    <row r="201" spans="1:8" x14ac:dyDescent="0.3">
      <c r="A201" s="14" t="s">
        <v>32</v>
      </c>
      <c r="B201" s="5">
        <v>2018</v>
      </c>
      <c r="C201" s="5" t="s">
        <v>39</v>
      </c>
      <c r="D201" s="5">
        <v>1771.1</v>
      </c>
      <c r="E201" s="5">
        <v>128.1</v>
      </c>
      <c r="F201" s="5">
        <v>120.1</v>
      </c>
      <c r="G201" s="5">
        <v>144</v>
      </c>
      <c r="H201" s="15">
        <v>133.6</v>
      </c>
    </row>
    <row r="202" spans="1:8" x14ac:dyDescent="0.3">
      <c r="A202" s="14" t="s">
        <v>33</v>
      </c>
      <c r="B202" s="5">
        <v>2018</v>
      </c>
      <c r="C202" s="5" t="s">
        <v>39</v>
      </c>
      <c r="D202" s="5">
        <v>1795.3</v>
      </c>
      <c r="E202" s="5">
        <v>139.69999999999999</v>
      </c>
      <c r="F202" s="5">
        <v>123.6</v>
      </c>
      <c r="G202" s="5">
        <v>144.69999999999999</v>
      </c>
      <c r="H202" s="15">
        <v>137</v>
      </c>
    </row>
    <row r="203" spans="1:8" x14ac:dyDescent="0.3">
      <c r="A203" s="14" t="s">
        <v>30</v>
      </c>
      <c r="B203" s="5">
        <v>2018</v>
      </c>
      <c r="C203" s="5" t="s">
        <v>40</v>
      </c>
      <c r="D203" s="5">
        <v>1818.8</v>
      </c>
      <c r="E203" s="5">
        <v>147.69999999999999</v>
      </c>
      <c r="F203" s="5">
        <v>128.30000000000001</v>
      </c>
      <c r="G203" s="5">
        <v>146.9</v>
      </c>
      <c r="H203" s="15">
        <v>139.4</v>
      </c>
    </row>
    <row r="204" spans="1:8" x14ac:dyDescent="0.3">
      <c r="A204" s="14" t="s">
        <v>32</v>
      </c>
      <c r="B204" s="5">
        <v>2018</v>
      </c>
      <c r="C204" s="5" t="s">
        <v>40</v>
      </c>
      <c r="D204" s="5">
        <v>1767.6</v>
      </c>
      <c r="E204" s="5">
        <v>129.80000000000001</v>
      </c>
      <c r="F204" s="5">
        <v>120.7</v>
      </c>
      <c r="G204" s="5">
        <v>145.30000000000001</v>
      </c>
      <c r="H204" s="15">
        <v>134.9</v>
      </c>
    </row>
    <row r="205" spans="1:8" x14ac:dyDescent="0.3">
      <c r="A205" s="14" t="s">
        <v>33</v>
      </c>
      <c r="B205" s="5">
        <v>2018</v>
      </c>
      <c r="C205" s="5" t="s">
        <v>40</v>
      </c>
      <c r="D205" s="5">
        <v>1798.7000000000003</v>
      </c>
      <c r="E205" s="5">
        <v>140.9</v>
      </c>
      <c r="F205" s="5">
        <v>124.3</v>
      </c>
      <c r="G205" s="5">
        <v>146</v>
      </c>
      <c r="H205" s="15">
        <v>137.69999999999999</v>
      </c>
    </row>
    <row r="206" spans="1:8" x14ac:dyDescent="0.3">
      <c r="A206" s="14" t="s">
        <v>30</v>
      </c>
      <c r="B206" s="5">
        <v>2018</v>
      </c>
      <c r="C206" s="5" t="s">
        <v>41</v>
      </c>
      <c r="D206" s="5">
        <v>1799.8000000000002</v>
      </c>
      <c r="E206" s="5">
        <v>149</v>
      </c>
      <c r="F206" s="5">
        <v>129.9</v>
      </c>
      <c r="G206" s="5">
        <v>147.6</v>
      </c>
      <c r="H206" s="15">
        <v>140</v>
      </c>
    </row>
    <row r="207" spans="1:8" x14ac:dyDescent="0.3">
      <c r="A207" s="14" t="s">
        <v>32</v>
      </c>
      <c r="B207" s="5">
        <v>2018</v>
      </c>
      <c r="C207" s="5" t="s">
        <v>41</v>
      </c>
      <c r="D207" s="5">
        <v>1748.4</v>
      </c>
      <c r="E207" s="5">
        <v>131.19999999999999</v>
      </c>
      <c r="F207" s="5">
        <v>122.5</v>
      </c>
      <c r="G207" s="5">
        <v>145.19999999999999</v>
      </c>
      <c r="H207" s="15">
        <v>135.69999999999999</v>
      </c>
    </row>
    <row r="208" spans="1:8" x14ac:dyDescent="0.3">
      <c r="A208" s="14" t="s">
        <v>33</v>
      </c>
      <c r="B208" s="5">
        <v>2018</v>
      </c>
      <c r="C208" s="5" t="s">
        <v>41</v>
      </c>
      <c r="D208" s="5">
        <v>1779.5</v>
      </c>
      <c r="E208" s="5">
        <v>142.30000000000001</v>
      </c>
      <c r="F208" s="5">
        <v>126</v>
      </c>
      <c r="G208" s="5">
        <v>146.19999999999999</v>
      </c>
      <c r="H208" s="15">
        <v>138.4</v>
      </c>
    </row>
    <row r="209" spans="1:8" x14ac:dyDescent="0.3">
      <c r="A209" s="14" t="s">
        <v>30</v>
      </c>
      <c r="B209" s="5">
        <v>2018</v>
      </c>
      <c r="C209" s="5" t="s">
        <v>42</v>
      </c>
      <c r="D209" s="5">
        <v>1782.2</v>
      </c>
      <c r="E209" s="5">
        <v>149.69999999999999</v>
      </c>
      <c r="F209" s="5">
        <v>130.80000000000001</v>
      </c>
      <c r="G209" s="5">
        <v>148</v>
      </c>
      <c r="H209" s="15">
        <v>144.80000000000001</v>
      </c>
    </row>
    <row r="210" spans="1:8" x14ac:dyDescent="0.3">
      <c r="A210" s="14" t="s">
        <v>32</v>
      </c>
      <c r="B210" s="5">
        <v>2018</v>
      </c>
      <c r="C210" s="5" t="s">
        <v>42</v>
      </c>
      <c r="D210" s="5">
        <v>1754.1</v>
      </c>
      <c r="E210" s="5">
        <v>133.4</v>
      </c>
      <c r="F210" s="5">
        <v>123.3</v>
      </c>
      <c r="G210" s="5">
        <v>145.5</v>
      </c>
      <c r="H210" s="15">
        <v>136.19999999999999</v>
      </c>
    </row>
    <row r="211" spans="1:8" x14ac:dyDescent="0.3">
      <c r="A211" s="14" t="s">
        <v>33</v>
      </c>
      <c r="B211" s="5">
        <v>2018</v>
      </c>
      <c r="C211" s="5" t="s">
        <v>42</v>
      </c>
      <c r="D211" s="5">
        <v>1776.2</v>
      </c>
      <c r="E211" s="5">
        <v>145.30000000000001</v>
      </c>
      <c r="F211" s="5">
        <v>125.5</v>
      </c>
      <c r="G211" s="5">
        <v>147.80000000000001</v>
      </c>
      <c r="H211" s="15">
        <v>142.1</v>
      </c>
    </row>
    <row r="212" spans="1:8" x14ac:dyDescent="0.3">
      <c r="A212" s="14" t="s">
        <v>30</v>
      </c>
      <c r="B212" s="5">
        <v>2018</v>
      </c>
      <c r="C212" s="5" t="s">
        <v>44</v>
      </c>
      <c r="D212" s="5">
        <v>1787.4999999999995</v>
      </c>
      <c r="E212" s="5">
        <v>150.30000000000001</v>
      </c>
      <c r="F212" s="5">
        <v>130.30000000000001</v>
      </c>
      <c r="G212" s="5">
        <v>150.19999999999999</v>
      </c>
      <c r="H212" s="15">
        <v>145.4</v>
      </c>
    </row>
    <row r="213" spans="1:8" x14ac:dyDescent="0.3">
      <c r="A213" s="14" t="s">
        <v>32</v>
      </c>
      <c r="B213" s="5">
        <v>2018</v>
      </c>
      <c r="C213" s="5" t="s">
        <v>44</v>
      </c>
      <c r="D213" s="5">
        <v>1757.4999999999998</v>
      </c>
      <c r="E213" s="5">
        <v>136.69999999999999</v>
      </c>
      <c r="F213" s="5">
        <v>121.2</v>
      </c>
      <c r="G213" s="5">
        <v>146.1</v>
      </c>
      <c r="H213" s="15">
        <v>136.80000000000001</v>
      </c>
    </row>
    <row r="214" spans="1:8" x14ac:dyDescent="0.3">
      <c r="A214" s="14" t="s">
        <v>33</v>
      </c>
      <c r="B214" s="5">
        <v>2018</v>
      </c>
      <c r="C214" s="5" t="s">
        <v>44</v>
      </c>
      <c r="D214" s="5">
        <v>1775.7000000000003</v>
      </c>
      <c r="E214" s="5">
        <v>145.1</v>
      </c>
      <c r="F214" s="5">
        <v>125.5</v>
      </c>
      <c r="G214" s="5">
        <v>147.80000000000001</v>
      </c>
      <c r="H214" s="15">
        <v>142.1</v>
      </c>
    </row>
    <row r="215" spans="1:8" x14ac:dyDescent="0.3">
      <c r="A215" s="14" t="s">
        <v>30</v>
      </c>
      <c r="B215" s="5">
        <v>2018</v>
      </c>
      <c r="C215" s="5" t="s">
        <v>45</v>
      </c>
      <c r="D215" s="5">
        <v>1773.1000000000001</v>
      </c>
      <c r="E215" s="5">
        <v>149</v>
      </c>
      <c r="F215" s="5">
        <v>128.9</v>
      </c>
      <c r="G215" s="5">
        <v>155.1</v>
      </c>
      <c r="H215" s="15">
        <v>149.6</v>
      </c>
    </row>
    <row r="216" spans="1:8" x14ac:dyDescent="0.3">
      <c r="A216" s="14" t="s">
        <v>32</v>
      </c>
      <c r="B216" s="5">
        <v>2018</v>
      </c>
      <c r="C216" s="5" t="s">
        <v>45</v>
      </c>
      <c r="D216" s="5">
        <v>1746.6</v>
      </c>
      <c r="E216" s="5">
        <v>132.4</v>
      </c>
      <c r="F216" s="5">
        <v>118.8</v>
      </c>
      <c r="G216" s="5">
        <v>146.5</v>
      </c>
      <c r="H216" s="15">
        <v>137.30000000000001</v>
      </c>
    </row>
    <row r="217" spans="1:8" x14ac:dyDescent="0.3">
      <c r="A217" s="14" t="s">
        <v>33</v>
      </c>
      <c r="B217" s="5">
        <v>2018</v>
      </c>
      <c r="C217" s="5" t="s">
        <v>45</v>
      </c>
      <c r="D217" s="5">
        <v>1762.7999999999997</v>
      </c>
      <c r="E217" s="5">
        <v>142.69999999999999</v>
      </c>
      <c r="F217" s="5">
        <v>123.6</v>
      </c>
      <c r="G217" s="5">
        <v>150.1</v>
      </c>
      <c r="H217" s="15">
        <v>144.9</v>
      </c>
    </row>
    <row r="218" spans="1:8" x14ac:dyDescent="0.3">
      <c r="A218" s="14" t="s">
        <v>30</v>
      </c>
      <c r="B218" s="5">
        <v>2019</v>
      </c>
      <c r="C218" s="5" t="s">
        <v>31</v>
      </c>
      <c r="D218" s="5">
        <v>1759.6000000000001</v>
      </c>
      <c r="E218" s="5">
        <v>146.19999999999999</v>
      </c>
      <c r="F218" s="5">
        <v>128.6</v>
      </c>
      <c r="G218" s="5">
        <v>155.19999999999999</v>
      </c>
      <c r="H218" s="15">
        <v>149.6</v>
      </c>
    </row>
    <row r="219" spans="1:8" x14ac:dyDescent="0.3">
      <c r="A219" s="14" t="s">
        <v>32</v>
      </c>
      <c r="B219" s="5">
        <v>2019</v>
      </c>
      <c r="C219" s="5" t="s">
        <v>31</v>
      </c>
      <c r="D219" s="5">
        <v>1744.3000000000002</v>
      </c>
      <c r="E219" s="5">
        <v>128.6</v>
      </c>
      <c r="F219" s="5">
        <v>118.6</v>
      </c>
      <c r="G219" s="5">
        <v>146.6</v>
      </c>
      <c r="H219" s="15">
        <v>137.80000000000001</v>
      </c>
    </row>
    <row r="220" spans="1:8" x14ac:dyDescent="0.3">
      <c r="A220" s="14" t="s">
        <v>33</v>
      </c>
      <c r="B220" s="5">
        <v>2019</v>
      </c>
      <c r="C220" s="5" t="s">
        <v>31</v>
      </c>
      <c r="D220" s="5">
        <v>1753.3999999999999</v>
      </c>
      <c r="E220" s="5">
        <v>139.5</v>
      </c>
      <c r="F220" s="5">
        <v>123.3</v>
      </c>
      <c r="G220" s="5">
        <v>150.19999999999999</v>
      </c>
      <c r="H220" s="15">
        <v>145.1</v>
      </c>
    </row>
    <row r="221" spans="1:8" x14ac:dyDescent="0.3">
      <c r="A221" s="14" t="s">
        <v>30</v>
      </c>
      <c r="B221" s="5">
        <v>2019</v>
      </c>
      <c r="C221" s="5" t="s">
        <v>34</v>
      </c>
      <c r="D221" s="5">
        <v>1759.8000000000002</v>
      </c>
      <c r="E221" s="5">
        <v>145.30000000000001</v>
      </c>
      <c r="F221" s="5">
        <v>129.19999999999999</v>
      </c>
      <c r="G221" s="5">
        <v>155.5</v>
      </c>
      <c r="H221" s="15">
        <v>149.9</v>
      </c>
    </row>
    <row r="222" spans="1:8" x14ac:dyDescent="0.3">
      <c r="A222" s="14" t="s">
        <v>32</v>
      </c>
      <c r="B222" s="5">
        <v>2019</v>
      </c>
      <c r="C222" s="5" t="s">
        <v>34</v>
      </c>
      <c r="D222" s="5">
        <v>1754.4</v>
      </c>
      <c r="E222" s="5">
        <v>127.1</v>
      </c>
      <c r="F222" s="5">
        <v>119.2</v>
      </c>
      <c r="G222" s="5">
        <v>146.6</v>
      </c>
      <c r="H222" s="15">
        <v>138.5</v>
      </c>
    </row>
    <row r="223" spans="1:8" x14ac:dyDescent="0.3">
      <c r="A223" s="14" t="s">
        <v>33</v>
      </c>
      <c r="B223" s="5">
        <v>2019</v>
      </c>
      <c r="C223" s="5" t="s">
        <v>34</v>
      </c>
      <c r="D223" s="5">
        <v>1757.1</v>
      </c>
      <c r="E223" s="5">
        <v>138.4</v>
      </c>
      <c r="F223" s="5">
        <v>123.9</v>
      </c>
      <c r="G223" s="5">
        <v>150.30000000000001</v>
      </c>
      <c r="H223" s="15">
        <v>145.6</v>
      </c>
    </row>
    <row r="224" spans="1:8" x14ac:dyDescent="0.3">
      <c r="A224" s="14" t="s">
        <v>30</v>
      </c>
      <c r="B224" s="5">
        <v>2019</v>
      </c>
      <c r="C224" s="5" t="s">
        <v>35</v>
      </c>
      <c r="D224" s="5">
        <v>1761.2000000000003</v>
      </c>
      <c r="E224" s="5">
        <v>146.4</v>
      </c>
      <c r="F224" s="5">
        <v>129.9</v>
      </c>
      <c r="G224" s="5">
        <v>155.5</v>
      </c>
      <c r="H224" s="15">
        <v>150.4</v>
      </c>
    </row>
    <row r="225" spans="1:8" x14ac:dyDescent="0.3">
      <c r="A225" s="14" t="s">
        <v>32</v>
      </c>
      <c r="B225" s="5">
        <v>2019</v>
      </c>
      <c r="C225" s="5" t="s">
        <v>35</v>
      </c>
      <c r="D225" s="5">
        <v>1768.4</v>
      </c>
      <c r="E225" s="5">
        <v>128.80000000000001</v>
      </c>
      <c r="F225" s="5">
        <v>119.9</v>
      </c>
      <c r="G225" s="5">
        <v>146.69999999999999</v>
      </c>
      <c r="H225" s="15">
        <v>139.19999999999999</v>
      </c>
    </row>
    <row r="226" spans="1:8" x14ac:dyDescent="0.3">
      <c r="A226" s="14" t="s">
        <v>33</v>
      </c>
      <c r="B226" s="5">
        <v>2019</v>
      </c>
      <c r="C226" s="5" t="s">
        <v>35</v>
      </c>
      <c r="D226" s="5">
        <v>1762.9</v>
      </c>
      <c r="E226" s="5">
        <v>139.69999999999999</v>
      </c>
      <c r="F226" s="5">
        <v>124.6</v>
      </c>
      <c r="G226" s="5">
        <v>150.30000000000001</v>
      </c>
      <c r="H226" s="15">
        <v>146.19999999999999</v>
      </c>
    </row>
    <row r="227" spans="1:8" x14ac:dyDescent="0.3">
      <c r="A227" s="14" t="s">
        <v>30</v>
      </c>
      <c r="B227" s="5">
        <v>2019</v>
      </c>
      <c r="C227" s="5" t="s">
        <v>37</v>
      </c>
      <c r="D227" s="5">
        <v>1782.1000000000001</v>
      </c>
      <c r="E227" s="5">
        <v>146.9</v>
      </c>
      <c r="F227" s="5">
        <v>130.19999999999999</v>
      </c>
      <c r="G227" s="5">
        <v>156.69999999999999</v>
      </c>
      <c r="H227" s="15">
        <v>151.30000000000001</v>
      </c>
    </row>
    <row r="228" spans="1:8" x14ac:dyDescent="0.3">
      <c r="A228" s="14" t="s">
        <v>32</v>
      </c>
      <c r="B228" s="5">
        <v>2019</v>
      </c>
      <c r="C228" s="5" t="s">
        <v>37</v>
      </c>
      <c r="D228" s="5">
        <v>1811.5000000000002</v>
      </c>
      <c r="E228" s="5">
        <v>129.4</v>
      </c>
      <c r="F228" s="5">
        <v>120.1</v>
      </c>
      <c r="G228" s="5">
        <v>148</v>
      </c>
      <c r="H228" s="15">
        <v>139.80000000000001</v>
      </c>
    </row>
    <row r="229" spans="1:8" x14ac:dyDescent="0.3">
      <c r="A229" s="14" t="s">
        <v>33</v>
      </c>
      <c r="B229" s="5">
        <v>2019</v>
      </c>
      <c r="C229" s="5" t="s">
        <v>37</v>
      </c>
      <c r="D229" s="5">
        <v>1791.9000000000003</v>
      </c>
      <c r="E229" s="5">
        <v>140.30000000000001</v>
      </c>
      <c r="F229" s="5">
        <v>124.9</v>
      </c>
      <c r="G229" s="5">
        <v>151.6</v>
      </c>
      <c r="H229" s="15">
        <v>146.9</v>
      </c>
    </row>
    <row r="230" spans="1:8" x14ac:dyDescent="0.3">
      <c r="A230" s="14" t="s">
        <v>30</v>
      </c>
      <c r="B230" s="5">
        <v>2019</v>
      </c>
      <c r="C230" s="5" t="s">
        <v>38</v>
      </c>
      <c r="D230" s="5">
        <v>1804.1999999999998</v>
      </c>
      <c r="E230" s="5">
        <v>147.80000000000001</v>
      </c>
      <c r="F230" s="5">
        <v>130.19999999999999</v>
      </c>
      <c r="G230" s="5">
        <v>157.69999999999999</v>
      </c>
      <c r="H230" s="15">
        <v>151.69999999999999</v>
      </c>
    </row>
    <row r="231" spans="1:8" x14ac:dyDescent="0.3">
      <c r="A231" s="14" t="s">
        <v>32</v>
      </c>
      <c r="B231" s="5">
        <v>2019</v>
      </c>
      <c r="C231" s="5" t="s">
        <v>38</v>
      </c>
      <c r="D231" s="5">
        <v>1833.2999999999997</v>
      </c>
      <c r="E231" s="5">
        <v>130.5</v>
      </c>
      <c r="F231" s="5">
        <v>119.6</v>
      </c>
      <c r="G231" s="5">
        <v>148.9</v>
      </c>
      <c r="H231" s="15">
        <v>140.30000000000001</v>
      </c>
    </row>
    <row r="232" spans="1:8" x14ac:dyDescent="0.3">
      <c r="A232" s="14" t="s">
        <v>33</v>
      </c>
      <c r="B232" s="5">
        <v>2019</v>
      </c>
      <c r="C232" s="5" t="s">
        <v>38</v>
      </c>
      <c r="D232" s="5">
        <v>1814.1000000000001</v>
      </c>
      <c r="E232" s="5">
        <v>141.19999999999999</v>
      </c>
      <c r="F232" s="5">
        <v>124.6</v>
      </c>
      <c r="G232" s="5">
        <v>152.5</v>
      </c>
      <c r="H232" s="15">
        <v>147.4</v>
      </c>
    </row>
    <row r="233" spans="1:8" x14ac:dyDescent="0.3">
      <c r="A233" s="14" t="s">
        <v>30</v>
      </c>
      <c r="B233" s="5">
        <v>2019</v>
      </c>
      <c r="C233" s="5" t="s">
        <v>39</v>
      </c>
      <c r="D233" s="5">
        <v>1826.8999999999999</v>
      </c>
      <c r="E233" s="5">
        <v>146.80000000000001</v>
      </c>
      <c r="F233" s="5">
        <v>131.19999999999999</v>
      </c>
      <c r="G233" s="5">
        <v>159.1</v>
      </c>
      <c r="H233" s="15">
        <v>152.19999999999999</v>
      </c>
    </row>
    <row r="234" spans="1:8" x14ac:dyDescent="0.3">
      <c r="A234" s="14" t="s">
        <v>32</v>
      </c>
      <c r="B234" s="5">
        <v>2019</v>
      </c>
      <c r="C234" s="5" t="s">
        <v>39</v>
      </c>
      <c r="D234" s="5">
        <v>1857.3999999999999</v>
      </c>
      <c r="E234" s="5">
        <v>127</v>
      </c>
      <c r="F234" s="5">
        <v>120.6</v>
      </c>
      <c r="G234" s="5">
        <v>150.4</v>
      </c>
      <c r="H234" s="15">
        <v>140.80000000000001</v>
      </c>
    </row>
    <row r="235" spans="1:8" x14ac:dyDescent="0.3">
      <c r="A235" s="14" t="s">
        <v>33</v>
      </c>
      <c r="B235" s="5">
        <v>2019</v>
      </c>
      <c r="C235" s="5" t="s">
        <v>39</v>
      </c>
      <c r="D235" s="5">
        <v>1837.5</v>
      </c>
      <c r="E235" s="5">
        <v>139.30000000000001</v>
      </c>
      <c r="F235" s="5">
        <v>125.6</v>
      </c>
      <c r="G235" s="5">
        <v>154</v>
      </c>
      <c r="H235" s="15">
        <v>147.9</v>
      </c>
    </row>
    <row r="236" spans="1:8" x14ac:dyDescent="0.3">
      <c r="A236" s="14" t="s">
        <v>30</v>
      </c>
      <c r="B236" s="5">
        <v>2019</v>
      </c>
      <c r="C236" s="5" t="s">
        <v>40</v>
      </c>
      <c r="D236" s="5">
        <v>1834.5000000000002</v>
      </c>
      <c r="E236" s="5">
        <v>146.4</v>
      </c>
      <c r="F236" s="5">
        <v>131.4</v>
      </c>
      <c r="G236" s="5">
        <v>159.69999999999999</v>
      </c>
      <c r="H236" s="15">
        <v>152.69999999999999</v>
      </c>
    </row>
    <row r="237" spans="1:8" x14ac:dyDescent="0.3">
      <c r="A237" s="14" t="s">
        <v>32</v>
      </c>
      <c r="B237" s="5">
        <v>2019</v>
      </c>
      <c r="C237" s="5" t="s">
        <v>40</v>
      </c>
      <c r="D237" s="5">
        <v>1869.1</v>
      </c>
      <c r="E237" s="5">
        <v>125.5</v>
      </c>
      <c r="F237" s="5">
        <v>120.8</v>
      </c>
      <c r="G237" s="5">
        <v>151.5</v>
      </c>
      <c r="H237" s="15">
        <v>141.5</v>
      </c>
    </row>
    <row r="238" spans="1:8" x14ac:dyDescent="0.3">
      <c r="A238" s="14" t="s">
        <v>33</v>
      </c>
      <c r="B238" s="5">
        <v>2019</v>
      </c>
      <c r="C238" s="5" t="s">
        <v>40</v>
      </c>
      <c r="D238" s="5">
        <v>1846.5</v>
      </c>
      <c r="E238" s="5">
        <v>138.5</v>
      </c>
      <c r="F238" s="5">
        <v>125.8</v>
      </c>
      <c r="G238" s="5">
        <v>154.9</v>
      </c>
      <c r="H238" s="15">
        <v>148.5</v>
      </c>
    </row>
    <row r="239" spans="1:8" x14ac:dyDescent="0.3">
      <c r="A239" s="14" t="s">
        <v>30</v>
      </c>
      <c r="B239" s="5">
        <v>2019</v>
      </c>
      <c r="C239" s="5" t="s">
        <v>41</v>
      </c>
      <c r="D239" s="5">
        <v>1848.7</v>
      </c>
      <c r="E239" s="5">
        <v>146.9</v>
      </c>
      <c r="F239" s="5">
        <v>131.6</v>
      </c>
      <c r="G239" s="5">
        <v>160.19999999999999</v>
      </c>
      <c r="H239" s="15">
        <v>153.4</v>
      </c>
    </row>
    <row r="240" spans="1:8" x14ac:dyDescent="0.3">
      <c r="A240" s="14" t="s">
        <v>32</v>
      </c>
      <c r="B240" s="5">
        <v>2019</v>
      </c>
      <c r="C240" s="5" t="s">
        <v>41</v>
      </c>
      <c r="D240" s="5">
        <v>1874.9</v>
      </c>
      <c r="E240" s="5">
        <v>126.6</v>
      </c>
      <c r="F240" s="5">
        <v>121.2</v>
      </c>
      <c r="G240" s="5">
        <v>151.6</v>
      </c>
      <c r="H240" s="15">
        <v>141.9</v>
      </c>
    </row>
    <row r="241" spans="1:8" x14ac:dyDescent="0.3">
      <c r="A241" s="14" t="s">
        <v>33</v>
      </c>
      <c r="B241" s="5">
        <v>2019</v>
      </c>
      <c r="C241" s="5" t="s">
        <v>41</v>
      </c>
      <c r="D241" s="5">
        <v>1857.6999999999998</v>
      </c>
      <c r="E241" s="5">
        <v>139.19999999999999</v>
      </c>
      <c r="F241" s="5">
        <v>126.1</v>
      </c>
      <c r="G241" s="5">
        <v>155.19999999999999</v>
      </c>
      <c r="H241" s="15">
        <v>149</v>
      </c>
    </row>
    <row r="242" spans="1:8" x14ac:dyDescent="0.3">
      <c r="A242" s="14" t="s">
        <v>30</v>
      </c>
      <c r="B242" s="5">
        <v>2019</v>
      </c>
      <c r="C242" s="5" t="s">
        <v>42</v>
      </c>
      <c r="D242" s="5">
        <v>1876.8999999999996</v>
      </c>
      <c r="E242" s="5">
        <v>147.69999999999999</v>
      </c>
      <c r="F242" s="5">
        <v>131.69999999999999</v>
      </c>
      <c r="G242" s="5">
        <v>160.69999999999999</v>
      </c>
      <c r="H242" s="15">
        <v>153.69999999999999</v>
      </c>
    </row>
    <row r="243" spans="1:8" x14ac:dyDescent="0.3">
      <c r="A243" s="14" t="s">
        <v>32</v>
      </c>
      <c r="B243" s="5">
        <v>2019</v>
      </c>
      <c r="C243" s="5" t="s">
        <v>42</v>
      </c>
      <c r="D243" s="5">
        <v>1902.6000000000001</v>
      </c>
      <c r="E243" s="5">
        <v>128.9</v>
      </c>
      <c r="F243" s="5">
        <v>121.5</v>
      </c>
      <c r="G243" s="5">
        <v>151.69999999999999</v>
      </c>
      <c r="H243" s="15">
        <v>142.4</v>
      </c>
    </row>
    <row r="244" spans="1:8" x14ac:dyDescent="0.3">
      <c r="A244" s="14" t="s">
        <v>33</v>
      </c>
      <c r="B244" s="5">
        <v>2019</v>
      </c>
      <c r="C244" s="5" t="s">
        <v>42</v>
      </c>
      <c r="D244" s="5">
        <v>1885.5999999999997</v>
      </c>
      <c r="E244" s="5">
        <v>140.6</v>
      </c>
      <c r="F244" s="5">
        <v>126.3</v>
      </c>
      <c r="G244" s="5">
        <v>155.4</v>
      </c>
      <c r="H244" s="15">
        <v>149.4</v>
      </c>
    </row>
    <row r="245" spans="1:8" x14ac:dyDescent="0.3">
      <c r="A245" s="14" t="s">
        <v>30</v>
      </c>
      <c r="B245" s="5">
        <v>2019</v>
      </c>
      <c r="C245" s="5" t="s">
        <v>44</v>
      </c>
      <c r="D245" s="5">
        <v>1904.6000000000001</v>
      </c>
      <c r="E245" s="5">
        <v>148.4</v>
      </c>
      <c r="F245" s="5">
        <v>132.1</v>
      </c>
      <c r="G245" s="5">
        <v>160.80000000000001</v>
      </c>
      <c r="H245" s="15">
        <v>154.30000000000001</v>
      </c>
    </row>
    <row r="246" spans="1:8" x14ac:dyDescent="0.3">
      <c r="A246" s="14" t="s">
        <v>32</v>
      </c>
      <c r="B246" s="5">
        <v>2019</v>
      </c>
      <c r="C246" s="5" t="s">
        <v>44</v>
      </c>
      <c r="D246" s="5">
        <v>1923.9999999999998</v>
      </c>
      <c r="E246" s="5">
        <v>132.19999999999999</v>
      </c>
      <c r="F246" s="5">
        <v>121.7</v>
      </c>
      <c r="G246" s="5">
        <v>151.80000000000001</v>
      </c>
      <c r="H246" s="15">
        <v>142.80000000000001</v>
      </c>
    </row>
    <row r="247" spans="1:8" x14ac:dyDescent="0.3">
      <c r="A247" s="14" t="s">
        <v>33</v>
      </c>
      <c r="B247" s="5">
        <v>2019</v>
      </c>
      <c r="C247" s="5" t="s">
        <v>44</v>
      </c>
      <c r="D247" s="5">
        <v>1910.9</v>
      </c>
      <c r="E247" s="5">
        <v>142.30000000000001</v>
      </c>
      <c r="F247" s="5">
        <v>126.6</v>
      </c>
      <c r="G247" s="5">
        <v>155.5</v>
      </c>
      <c r="H247" s="15">
        <v>149.9</v>
      </c>
    </row>
    <row r="248" spans="1:8" x14ac:dyDescent="0.3">
      <c r="A248" s="14" t="s">
        <v>30</v>
      </c>
      <c r="B248" s="5">
        <v>2019</v>
      </c>
      <c r="C248" s="5" t="s">
        <v>45</v>
      </c>
      <c r="D248" s="5">
        <v>1940.9999999999995</v>
      </c>
      <c r="E248" s="5">
        <v>149.9</v>
      </c>
      <c r="F248" s="5">
        <v>135</v>
      </c>
      <c r="G248" s="5">
        <v>161.1</v>
      </c>
      <c r="H248" s="15">
        <v>154.80000000000001</v>
      </c>
    </row>
    <row r="249" spans="1:8" x14ac:dyDescent="0.3">
      <c r="A249" s="14" t="s">
        <v>32</v>
      </c>
      <c r="B249" s="5">
        <v>2019</v>
      </c>
      <c r="C249" s="5" t="s">
        <v>45</v>
      </c>
      <c r="D249" s="5">
        <v>1956.7</v>
      </c>
      <c r="E249" s="5">
        <v>133.6</v>
      </c>
      <c r="F249" s="5">
        <v>125.2</v>
      </c>
      <c r="G249" s="5">
        <v>151.9</v>
      </c>
      <c r="H249" s="15">
        <v>143.19999999999999</v>
      </c>
    </row>
    <row r="250" spans="1:8" x14ac:dyDescent="0.3">
      <c r="A250" s="14" t="s">
        <v>33</v>
      </c>
      <c r="B250" s="5">
        <v>2019</v>
      </c>
      <c r="C250" s="5" t="s">
        <v>45</v>
      </c>
      <c r="D250" s="5">
        <v>1946.1000000000001</v>
      </c>
      <c r="E250" s="5">
        <v>143.69999999999999</v>
      </c>
      <c r="F250" s="5">
        <v>129.80000000000001</v>
      </c>
      <c r="G250" s="5">
        <v>155.69999999999999</v>
      </c>
      <c r="H250" s="15">
        <v>150.4</v>
      </c>
    </row>
    <row r="251" spans="1:8" x14ac:dyDescent="0.3">
      <c r="A251" s="14" t="s">
        <v>30</v>
      </c>
      <c r="B251" s="5">
        <v>2020</v>
      </c>
      <c r="C251" s="5" t="s">
        <v>31</v>
      </c>
      <c r="D251" s="5">
        <v>1938.6</v>
      </c>
      <c r="E251" s="5">
        <v>150.4</v>
      </c>
      <c r="F251" s="5">
        <v>136.30000000000001</v>
      </c>
      <c r="G251" s="5">
        <v>161.69999999999999</v>
      </c>
      <c r="H251" s="15">
        <v>155.69999999999999</v>
      </c>
    </row>
    <row r="252" spans="1:8" x14ac:dyDescent="0.3">
      <c r="A252" s="14" t="s">
        <v>32</v>
      </c>
      <c r="B252" s="5">
        <v>2020</v>
      </c>
      <c r="C252" s="5" t="s">
        <v>31</v>
      </c>
      <c r="D252" s="5">
        <v>1945.3999999999999</v>
      </c>
      <c r="E252" s="5">
        <v>135.1</v>
      </c>
      <c r="F252" s="5">
        <v>126.1</v>
      </c>
      <c r="G252" s="5">
        <v>152.1</v>
      </c>
      <c r="H252" s="15">
        <v>143.80000000000001</v>
      </c>
    </row>
    <row r="253" spans="1:8" x14ac:dyDescent="0.3">
      <c r="A253" s="14" t="s">
        <v>33</v>
      </c>
      <c r="B253" s="5">
        <v>2020</v>
      </c>
      <c r="C253" s="5" t="s">
        <v>31</v>
      </c>
      <c r="D253" s="5">
        <v>1940.3999999999999</v>
      </c>
      <c r="E253" s="5">
        <v>144.6</v>
      </c>
      <c r="F253" s="5">
        <v>130.9</v>
      </c>
      <c r="G253" s="5">
        <v>156.1</v>
      </c>
      <c r="H253" s="15">
        <v>151.19999999999999</v>
      </c>
    </row>
    <row r="254" spans="1:8" x14ac:dyDescent="0.3">
      <c r="A254" s="14" t="s">
        <v>30</v>
      </c>
      <c r="B254" s="5">
        <v>2020</v>
      </c>
      <c r="C254" s="5" t="s">
        <v>34</v>
      </c>
      <c r="D254" s="5">
        <v>1909.7999999999997</v>
      </c>
      <c r="E254" s="5">
        <v>152.30000000000001</v>
      </c>
      <c r="F254" s="5">
        <v>136</v>
      </c>
      <c r="G254" s="5">
        <v>161.9</v>
      </c>
      <c r="H254" s="15">
        <v>156.19999999999999</v>
      </c>
    </row>
    <row r="255" spans="1:8" x14ac:dyDescent="0.3">
      <c r="A255" s="14" t="s">
        <v>32</v>
      </c>
      <c r="B255" s="5">
        <v>2020</v>
      </c>
      <c r="C255" s="5" t="s">
        <v>34</v>
      </c>
      <c r="D255" s="5">
        <v>1916.6</v>
      </c>
      <c r="E255" s="5">
        <v>138.9</v>
      </c>
      <c r="F255" s="5">
        <v>125.2</v>
      </c>
      <c r="G255" s="5">
        <v>152.19999999999999</v>
      </c>
      <c r="H255" s="15">
        <v>144.4</v>
      </c>
    </row>
    <row r="256" spans="1:8" x14ac:dyDescent="0.3">
      <c r="A256" s="14" t="s">
        <v>33</v>
      </c>
      <c r="B256" s="5">
        <v>2020</v>
      </c>
      <c r="C256" s="5" t="s">
        <v>34</v>
      </c>
      <c r="D256" s="5">
        <v>1911.6</v>
      </c>
      <c r="E256" s="5">
        <v>147.19999999999999</v>
      </c>
      <c r="F256" s="5">
        <v>130.30000000000001</v>
      </c>
      <c r="G256" s="5">
        <v>156.19999999999999</v>
      </c>
      <c r="H256" s="15">
        <v>151.69999999999999</v>
      </c>
    </row>
    <row r="257" spans="1:8" x14ac:dyDescent="0.3">
      <c r="A257" s="14" t="s">
        <v>30</v>
      </c>
      <c r="B257" s="5">
        <v>2020</v>
      </c>
      <c r="C257" s="5" t="s">
        <v>35</v>
      </c>
      <c r="D257" s="5">
        <v>1894.5999999999997</v>
      </c>
      <c r="E257" s="5">
        <v>153.4</v>
      </c>
      <c r="F257" s="5">
        <v>135.80000000000001</v>
      </c>
      <c r="G257" s="5">
        <v>161.19999999999999</v>
      </c>
      <c r="H257" s="15">
        <v>156.69999999999999</v>
      </c>
    </row>
    <row r="258" spans="1:8" x14ac:dyDescent="0.3">
      <c r="A258" s="14" t="s">
        <v>32</v>
      </c>
      <c r="B258" s="5">
        <v>2020</v>
      </c>
      <c r="C258" s="5" t="s">
        <v>35</v>
      </c>
      <c r="D258" s="5">
        <v>1898.5</v>
      </c>
      <c r="E258" s="5">
        <v>141.4</v>
      </c>
      <c r="F258" s="5">
        <v>124.6</v>
      </c>
      <c r="G258" s="5">
        <v>152.5</v>
      </c>
      <c r="H258" s="15">
        <v>145</v>
      </c>
    </row>
    <row r="259" spans="1:8" x14ac:dyDescent="0.3">
      <c r="A259" s="14" t="s">
        <v>33</v>
      </c>
      <c r="B259" s="5">
        <v>2020</v>
      </c>
      <c r="C259" s="5" t="s">
        <v>35</v>
      </c>
      <c r="D259" s="5">
        <v>1895.4</v>
      </c>
      <c r="E259" s="5">
        <v>148.9</v>
      </c>
      <c r="F259" s="5">
        <v>129.9</v>
      </c>
      <c r="G259" s="5">
        <v>156.1</v>
      </c>
      <c r="H259" s="15">
        <v>152.30000000000001</v>
      </c>
    </row>
    <row r="260" spans="1:8" x14ac:dyDescent="0.3">
      <c r="A260" s="14" t="s">
        <v>30</v>
      </c>
      <c r="B260" s="5">
        <v>2020</v>
      </c>
      <c r="C260" s="5" t="s">
        <v>36</v>
      </c>
      <c r="D260" s="5">
        <v>1941.55</v>
      </c>
      <c r="E260" s="5">
        <v>148.4</v>
      </c>
      <c r="F260" s="5">
        <f t="shared" ref="F260:H265" si="6">AVERAGE(F257,F254)</f>
        <v>135.9</v>
      </c>
      <c r="G260" s="5">
        <f t="shared" si="6"/>
        <v>161.55000000000001</v>
      </c>
      <c r="H260" s="15">
        <v>154.30000000000001</v>
      </c>
    </row>
    <row r="261" spans="1:8" x14ac:dyDescent="0.3">
      <c r="A261" s="14" t="s">
        <v>32</v>
      </c>
      <c r="B261" s="5">
        <v>2020</v>
      </c>
      <c r="C261" s="5" t="s">
        <v>36</v>
      </c>
      <c r="D261" s="5">
        <v>1963.3</v>
      </c>
      <c r="E261" s="5">
        <v>137.1</v>
      </c>
      <c r="F261" s="5">
        <f t="shared" si="6"/>
        <v>124.9</v>
      </c>
      <c r="G261" s="5">
        <f>AVERAGE(G258,G255)</f>
        <v>152.35</v>
      </c>
      <c r="H261" s="15">
        <v>144.80000000000001</v>
      </c>
    </row>
    <row r="262" spans="1:8" x14ac:dyDescent="0.3">
      <c r="A262" s="14" t="s">
        <v>33</v>
      </c>
      <c r="B262" s="5">
        <v>2020</v>
      </c>
      <c r="C262" s="5" t="s">
        <v>36</v>
      </c>
      <c r="D262" s="5">
        <v>1949.3</v>
      </c>
      <c r="E262" s="5">
        <v>144.1</v>
      </c>
      <c r="F262" s="5">
        <f t="shared" si="6"/>
        <v>130.10000000000002</v>
      </c>
      <c r="G262" s="5">
        <f t="shared" si="6"/>
        <v>156.14999999999998</v>
      </c>
      <c r="H262" s="15">
        <v>150.69999999999999</v>
      </c>
    </row>
    <row r="263" spans="1:8" x14ac:dyDescent="0.3">
      <c r="A263" s="14" t="s">
        <v>30</v>
      </c>
      <c r="B263" s="5">
        <v>2020</v>
      </c>
      <c r="C263" s="5" t="s">
        <v>37</v>
      </c>
      <c r="D263" s="5">
        <v>1918.0749999999998</v>
      </c>
      <c r="E263" s="5">
        <f>AVERAGE(E260,E257)</f>
        <v>150.9</v>
      </c>
      <c r="F263" s="5">
        <f t="shared" si="6"/>
        <v>135.85000000000002</v>
      </c>
      <c r="G263" s="5">
        <f t="shared" si="6"/>
        <v>161.375</v>
      </c>
      <c r="H263" s="15">
        <f>AVERAGE(H260,H257)</f>
        <v>155.5</v>
      </c>
    </row>
    <row r="264" spans="1:8" x14ac:dyDescent="0.3">
      <c r="A264" s="14" t="s">
        <v>32</v>
      </c>
      <c r="B264" s="5">
        <v>2020</v>
      </c>
      <c r="C264" s="5" t="s">
        <v>37</v>
      </c>
      <c r="D264" s="5">
        <v>1930.9</v>
      </c>
      <c r="E264" s="5">
        <f t="shared" ref="E264:E265" si="7">AVERAGE(E261,E258)</f>
        <v>139.25</v>
      </c>
      <c r="F264" s="5">
        <f t="shared" si="6"/>
        <v>124.75</v>
      </c>
      <c r="G264" s="5">
        <f t="shared" si="6"/>
        <v>152.42500000000001</v>
      </c>
      <c r="H264" s="15">
        <f t="shared" si="6"/>
        <v>144.9</v>
      </c>
    </row>
    <row r="265" spans="1:8" x14ac:dyDescent="0.3">
      <c r="A265" s="14" t="s">
        <v>33</v>
      </c>
      <c r="B265" s="5">
        <v>2020</v>
      </c>
      <c r="C265" s="5" t="s">
        <v>37</v>
      </c>
      <c r="D265" s="5">
        <v>1922.35</v>
      </c>
      <c r="E265" s="5">
        <f t="shared" si="7"/>
        <v>146.5</v>
      </c>
      <c r="F265" s="5">
        <f t="shared" si="6"/>
        <v>130</v>
      </c>
      <c r="G265" s="5">
        <f t="shared" si="6"/>
        <v>156.125</v>
      </c>
      <c r="H265" s="15">
        <f t="shared" si="6"/>
        <v>151.5</v>
      </c>
    </row>
    <row r="266" spans="1:8" x14ac:dyDescent="0.3">
      <c r="A266" s="14" t="s">
        <v>30</v>
      </c>
      <c r="B266" s="5">
        <v>2020</v>
      </c>
      <c r="C266" s="5" t="s">
        <v>38</v>
      </c>
      <c r="D266" s="5">
        <v>1951</v>
      </c>
      <c r="E266" s="5">
        <v>144.9</v>
      </c>
      <c r="F266" s="5">
        <v>141.4</v>
      </c>
      <c r="G266" s="5">
        <v>161.80000000000001</v>
      </c>
      <c r="H266" s="15">
        <v>158.19999999999999</v>
      </c>
    </row>
    <row r="267" spans="1:8" x14ac:dyDescent="0.3">
      <c r="A267" s="14" t="s">
        <v>32</v>
      </c>
      <c r="B267" s="5">
        <v>2020</v>
      </c>
      <c r="C267" s="5" t="s">
        <v>38</v>
      </c>
      <c r="D267" s="5">
        <v>1994.9999999999998</v>
      </c>
      <c r="E267" s="5">
        <v>137.1</v>
      </c>
      <c r="F267" s="5">
        <v>129.30000000000001</v>
      </c>
      <c r="G267" s="5">
        <v>152.5</v>
      </c>
      <c r="H267" s="15">
        <v>148.1</v>
      </c>
    </row>
    <row r="268" spans="1:8" x14ac:dyDescent="0.3">
      <c r="A268" s="14" t="s">
        <v>33</v>
      </c>
      <c r="B268" s="5">
        <v>2020</v>
      </c>
      <c r="C268" s="5" t="s">
        <v>38</v>
      </c>
      <c r="D268" s="5">
        <v>1966.8000000000002</v>
      </c>
      <c r="E268" s="5">
        <v>141.9</v>
      </c>
      <c r="F268" s="5">
        <v>135</v>
      </c>
      <c r="G268" s="5">
        <v>156.4</v>
      </c>
      <c r="H268" s="15">
        <v>154.4</v>
      </c>
    </row>
    <row r="269" spans="1:8" x14ac:dyDescent="0.3">
      <c r="A269" s="14" t="s">
        <v>30</v>
      </c>
      <c r="B269" s="5">
        <v>2020</v>
      </c>
      <c r="C269" s="5" t="s">
        <v>39</v>
      </c>
      <c r="D269" s="5">
        <v>1951</v>
      </c>
      <c r="E269" s="5">
        <v>144.9</v>
      </c>
      <c r="F269" s="5">
        <v>141.4</v>
      </c>
      <c r="G269" s="5">
        <v>161.80000000000001</v>
      </c>
      <c r="H269" s="15">
        <v>158.19999999999999</v>
      </c>
    </row>
    <row r="270" spans="1:8" x14ac:dyDescent="0.3">
      <c r="A270" s="14" t="s">
        <v>32</v>
      </c>
      <c r="B270" s="5">
        <v>2020</v>
      </c>
      <c r="C270" s="5" t="s">
        <v>39</v>
      </c>
      <c r="D270" s="5">
        <v>1994.9999999999998</v>
      </c>
      <c r="E270" s="5">
        <v>137.1</v>
      </c>
      <c r="F270" s="5">
        <v>129.30000000000001</v>
      </c>
      <c r="G270" s="5">
        <v>152.5</v>
      </c>
      <c r="H270" s="15">
        <v>148.1</v>
      </c>
    </row>
    <row r="271" spans="1:8" x14ac:dyDescent="0.3">
      <c r="A271" s="14" t="s">
        <v>33</v>
      </c>
      <c r="B271" s="5">
        <v>2020</v>
      </c>
      <c r="C271" s="5" t="s">
        <v>39</v>
      </c>
      <c r="D271" s="5">
        <v>1966.8000000000002</v>
      </c>
      <c r="E271" s="5">
        <v>141.9</v>
      </c>
      <c r="F271" s="5">
        <v>135</v>
      </c>
      <c r="G271" s="5">
        <v>156.4</v>
      </c>
      <c r="H271" s="15">
        <v>154.4</v>
      </c>
    </row>
    <row r="272" spans="1:8" x14ac:dyDescent="0.3">
      <c r="A272" s="14" t="s">
        <v>30</v>
      </c>
      <c r="B272" s="5">
        <v>2020</v>
      </c>
      <c r="C272" s="5" t="s">
        <v>40</v>
      </c>
      <c r="D272" s="5">
        <v>1978.6</v>
      </c>
      <c r="E272" s="5">
        <v>145.80000000000001</v>
      </c>
      <c r="F272" s="5">
        <v>143.6</v>
      </c>
      <c r="G272" s="5">
        <v>162.69999999999999</v>
      </c>
      <c r="H272" s="15">
        <v>158.80000000000001</v>
      </c>
    </row>
    <row r="273" spans="1:8" x14ac:dyDescent="0.3">
      <c r="A273" s="14" t="s">
        <v>32</v>
      </c>
      <c r="B273" s="5">
        <v>2020</v>
      </c>
      <c r="C273" s="5" t="s">
        <v>40</v>
      </c>
      <c r="D273" s="5">
        <v>2024.8999999999999</v>
      </c>
      <c r="E273" s="5">
        <v>138.30000000000001</v>
      </c>
      <c r="F273" s="5">
        <v>133.9</v>
      </c>
      <c r="G273" s="5">
        <v>155.5</v>
      </c>
      <c r="H273" s="15">
        <v>148.69999999999999</v>
      </c>
    </row>
    <row r="274" spans="1:8" x14ac:dyDescent="0.3">
      <c r="A274" s="14" t="s">
        <v>33</v>
      </c>
      <c r="B274" s="5">
        <v>2020</v>
      </c>
      <c r="C274" s="5" t="s">
        <v>40</v>
      </c>
      <c r="D274" s="5">
        <v>1995.1999999999998</v>
      </c>
      <c r="E274" s="5">
        <v>143</v>
      </c>
      <c r="F274" s="5">
        <v>138.5</v>
      </c>
      <c r="G274" s="5">
        <v>158.5</v>
      </c>
      <c r="H274" s="15">
        <v>155</v>
      </c>
    </row>
    <row r="275" spans="1:8" x14ac:dyDescent="0.3">
      <c r="A275" s="14" t="s">
        <v>30</v>
      </c>
      <c r="B275" s="5">
        <v>2020</v>
      </c>
      <c r="C275" s="5" t="s">
        <v>41</v>
      </c>
      <c r="D275" s="5">
        <v>1987.3999999999999</v>
      </c>
      <c r="E275" s="5">
        <v>146.4</v>
      </c>
      <c r="F275" s="5">
        <v>144.6</v>
      </c>
      <c r="G275" s="5">
        <v>161.1</v>
      </c>
      <c r="H275" s="15">
        <v>159.1</v>
      </c>
    </row>
    <row r="276" spans="1:8" x14ac:dyDescent="0.3">
      <c r="A276" s="14" t="s">
        <v>32</v>
      </c>
      <c r="B276" s="5">
        <v>2020</v>
      </c>
      <c r="C276" s="5" t="s">
        <v>41</v>
      </c>
      <c r="D276" s="5">
        <v>2041.6000000000001</v>
      </c>
      <c r="E276" s="5">
        <v>137.19999999999999</v>
      </c>
      <c r="F276" s="5">
        <v>135.1</v>
      </c>
      <c r="G276" s="5">
        <v>154.9</v>
      </c>
      <c r="H276" s="15">
        <v>150</v>
      </c>
    </row>
    <row r="277" spans="1:8" x14ac:dyDescent="0.3">
      <c r="A277" s="14" t="s">
        <v>33</v>
      </c>
      <c r="B277" s="5">
        <v>2020</v>
      </c>
      <c r="C277" s="5" t="s">
        <v>41</v>
      </c>
      <c r="D277" s="5">
        <v>2007</v>
      </c>
      <c r="E277" s="5">
        <v>142.9</v>
      </c>
      <c r="F277" s="5">
        <v>139.6</v>
      </c>
      <c r="G277" s="5">
        <v>157.5</v>
      </c>
      <c r="H277" s="15">
        <v>155.6</v>
      </c>
    </row>
    <row r="278" spans="1:8" x14ac:dyDescent="0.3">
      <c r="A278" s="14" t="s">
        <v>30</v>
      </c>
      <c r="B278" s="5">
        <v>2020</v>
      </c>
      <c r="C278" s="5" t="s">
        <v>42</v>
      </c>
      <c r="D278" s="5">
        <v>2030.9</v>
      </c>
      <c r="E278" s="5">
        <v>146.80000000000001</v>
      </c>
      <c r="F278" s="5">
        <v>146.4</v>
      </c>
      <c r="G278" s="5">
        <v>162.5</v>
      </c>
      <c r="H278" s="15">
        <v>159.5</v>
      </c>
    </row>
    <row r="279" spans="1:8" x14ac:dyDescent="0.3">
      <c r="A279" s="14" t="s">
        <v>32</v>
      </c>
      <c r="B279" s="5">
        <v>2020</v>
      </c>
      <c r="C279" s="5" t="s">
        <v>42</v>
      </c>
      <c r="D279" s="5">
        <v>2080.1999999999998</v>
      </c>
      <c r="E279" s="5">
        <v>137.1</v>
      </c>
      <c r="F279" s="5">
        <v>135.4</v>
      </c>
      <c r="G279" s="5">
        <v>155.69999999999999</v>
      </c>
      <c r="H279" s="15">
        <v>151</v>
      </c>
    </row>
    <row r="280" spans="1:8" x14ac:dyDescent="0.3">
      <c r="A280" s="14" t="s">
        <v>33</v>
      </c>
      <c r="B280" s="5">
        <v>2020</v>
      </c>
      <c r="C280" s="5" t="s">
        <v>42</v>
      </c>
      <c r="D280" s="5">
        <v>2048.6000000000004</v>
      </c>
      <c r="E280" s="5">
        <v>143.1</v>
      </c>
      <c r="F280" s="5">
        <v>140.6</v>
      </c>
      <c r="G280" s="5">
        <v>158.5</v>
      </c>
      <c r="H280" s="15">
        <v>156.30000000000001</v>
      </c>
    </row>
    <row r="281" spans="1:8" x14ac:dyDescent="0.3">
      <c r="A281" s="14" t="s">
        <v>30</v>
      </c>
      <c r="B281" s="5">
        <v>2020</v>
      </c>
      <c r="C281" s="5" t="s">
        <v>44</v>
      </c>
      <c r="D281" s="5">
        <v>2082.4</v>
      </c>
      <c r="E281" s="5">
        <v>147.5</v>
      </c>
      <c r="F281" s="5">
        <v>146.1</v>
      </c>
      <c r="G281" s="5">
        <v>161.6</v>
      </c>
      <c r="H281" s="15">
        <v>160.4</v>
      </c>
    </row>
    <row r="282" spans="1:8" x14ac:dyDescent="0.3">
      <c r="A282" s="14" t="s">
        <v>32</v>
      </c>
      <c r="B282" s="5">
        <v>2020</v>
      </c>
      <c r="C282" s="5" t="s">
        <v>44</v>
      </c>
      <c r="D282" s="5">
        <v>2120.6999999999998</v>
      </c>
      <c r="E282" s="5">
        <v>137.30000000000001</v>
      </c>
      <c r="F282" s="5">
        <v>135.19999999999999</v>
      </c>
      <c r="G282" s="5">
        <v>156.4</v>
      </c>
      <c r="H282" s="15">
        <v>152</v>
      </c>
    </row>
    <row r="283" spans="1:8" x14ac:dyDescent="0.3">
      <c r="A283" s="14" t="s">
        <v>33</v>
      </c>
      <c r="B283" s="5">
        <v>2020</v>
      </c>
      <c r="C283" s="5" t="s">
        <v>44</v>
      </c>
      <c r="D283" s="5">
        <v>2095.6</v>
      </c>
      <c r="E283" s="5">
        <v>143.6</v>
      </c>
      <c r="F283" s="5">
        <v>140.4</v>
      </c>
      <c r="G283" s="5">
        <v>158.6</v>
      </c>
      <c r="H283" s="15">
        <v>157.19999999999999</v>
      </c>
    </row>
    <row r="284" spans="1:8" x14ac:dyDescent="0.3">
      <c r="A284" s="14" t="s">
        <v>30</v>
      </c>
      <c r="B284" s="5">
        <v>2020</v>
      </c>
      <c r="C284" s="5" t="s">
        <v>45</v>
      </c>
      <c r="D284" s="5">
        <v>2100.5</v>
      </c>
      <c r="E284" s="5">
        <v>148.69999999999999</v>
      </c>
      <c r="F284" s="5">
        <v>146.4</v>
      </c>
      <c r="G284" s="5">
        <v>162.9</v>
      </c>
      <c r="H284" s="15">
        <v>161.6</v>
      </c>
    </row>
    <row r="285" spans="1:8" x14ac:dyDescent="0.3">
      <c r="A285" s="14" t="s">
        <v>32</v>
      </c>
      <c r="B285" s="5">
        <v>2020</v>
      </c>
      <c r="C285" s="5" t="s">
        <v>45</v>
      </c>
      <c r="D285" s="5">
        <v>2125.4</v>
      </c>
      <c r="E285" s="5">
        <v>137.9</v>
      </c>
      <c r="F285" s="5">
        <v>135.5</v>
      </c>
      <c r="G285" s="5">
        <v>156.9</v>
      </c>
      <c r="H285" s="15">
        <v>152.9</v>
      </c>
    </row>
    <row r="286" spans="1:8" x14ac:dyDescent="0.3">
      <c r="A286" s="14" t="s">
        <v>33</v>
      </c>
      <c r="B286" s="5">
        <v>2020</v>
      </c>
      <c r="C286" s="5" t="s">
        <v>45</v>
      </c>
      <c r="D286" s="5">
        <v>2109.1</v>
      </c>
      <c r="E286" s="5">
        <v>144.6</v>
      </c>
      <c r="F286" s="5">
        <v>140.69999999999999</v>
      </c>
      <c r="G286" s="5">
        <v>159.4</v>
      </c>
      <c r="H286" s="15">
        <v>158.30000000000001</v>
      </c>
    </row>
    <row r="287" spans="1:8" x14ac:dyDescent="0.3">
      <c r="A287" s="14" t="s">
        <v>30</v>
      </c>
      <c r="B287" s="5">
        <v>2021</v>
      </c>
      <c r="C287" s="5" t="s">
        <v>31</v>
      </c>
      <c r="D287" s="5">
        <v>2065.6999999999998</v>
      </c>
      <c r="E287" s="5">
        <v>150.9</v>
      </c>
      <c r="F287" s="5">
        <v>147.5</v>
      </c>
      <c r="G287" s="5">
        <v>163.5</v>
      </c>
      <c r="H287" s="15">
        <v>162.5</v>
      </c>
    </row>
    <row r="288" spans="1:8" x14ac:dyDescent="0.3">
      <c r="A288" s="14" t="s">
        <v>32</v>
      </c>
      <c r="B288" s="5">
        <v>2021</v>
      </c>
      <c r="C288" s="5" t="s">
        <v>31</v>
      </c>
      <c r="D288" s="5">
        <v>2097</v>
      </c>
      <c r="E288" s="5">
        <v>142.9</v>
      </c>
      <c r="F288" s="5">
        <v>136.9</v>
      </c>
      <c r="G288" s="5">
        <v>156.1</v>
      </c>
      <c r="H288" s="15">
        <v>154.1</v>
      </c>
    </row>
    <row r="289" spans="1:8" x14ac:dyDescent="0.3">
      <c r="A289" s="14" t="s">
        <v>33</v>
      </c>
      <c r="B289" s="5">
        <v>2021</v>
      </c>
      <c r="C289" s="5" t="s">
        <v>31</v>
      </c>
      <c r="D289" s="5">
        <v>2076.5</v>
      </c>
      <c r="E289" s="5">
        <v>147.9</v>
      </c>
      <c r="F289" s="5">
        <v>141.9</v>
      </c>
      <c r="G289" s="5">
        <v>159.19999999999999</v>
      </c>
      <c r="H289" s="15">
        <v>159.30000000000001</v>
      </c>
    </row>
    <row r="290" spans="1:8" x14ac:dyDescent="0.3">
      <c r="A290" s="14" t="s">
        <v>30</v>
      </c>
      <c r="B290" s="5">
        <v>2021</v>
      </c>
      <c r="C290" s="5" t="s">
        <v>34</v>
      </c>
      <c r="D290" s="5">
        <v>2025.3</v>
      </c>
      <c r="E290" s="5">
        <v>154.4</v>
      </c>
      <c r="F290" s="5">
        <v>150.19999999999999</v>
      </c>
      <c r="G290" s="5">
        <v>163.6</v>
      </c>
      <c r="H290" s="15">
        <v>164.3</v>
      </c>
    </row>
    <row r="291" spans="1:8" x14ac:dyDescent="0.3">
      <c r="A291" s="14" t="s">
        <v>32</v>
      </c>
      <c r="B291" s="5">
        <v>2021</v>
      </c>
      <c r="C291" s="5" t="s">
        <v>34</v>
      </c>
      <c r="D291" s="5">
        <v>2066</v>
      </c>
      <c r="E291" s="5">
        <v>149.1</v>
      </c>
      <c r="F291" s="5">
        <v>140.5</v>
      </c>
      <c r="G291" s="5">
        <v>156.6</v>
      </c>
      <c r="H291" s="15">
        <v>156.30000000000001</v>
      </c>
    </row>
    <row r="292" spans="1:8" x14ac:dyDescent="0.3">
      <c r="A292" s="14" t="s">
        <v>33</v>
      </c>
      <c r="B292" s="5">
        <v>2021</v>
      </c>
      <c r="C292" s="5" t="s">
        <v>34</v>
      </c>
      <c r="D292" s="5">
        <v>2039.3000000000002</v>
      </c>
      <c r="E292" s="5">
        <v>152.4</v>
      </c>
      <c r="F292" s="5">
        <v>145.1</v>
      </c>
      <c r="G292" s="5">
        <v>159.5</v>
      </c>
      <c r="H292" s="15">
        <v>161.30000000000001</v>
      </c>
    </row>
    <row r="293" spans="1:8" x14ac:dyDescent="0.3">
      <c r="A293" s="14" t="s">
        <v>30</v>
      </c>
      <c r="B293" s="5">
        <v>2021</v>
      </c>
      <c r="C293" s="5" t="s">
        <v>35</v>
      </c>
      <c r="D293" s="5">
        <v>2025.7</v>
      </c>
      <c r="E293" s="5">
        <v>156</v>
      </c>
      <c r="F293" s="5">
        <v>151.30000000000001</v>
      </c>
      <c r="G293" s="5">
        <v>163.80000000000001</v>
      </c>
      <c r="H293" s="15">
        <v>164.6</v>
      </c>
    </row>
    <row r="294" spans="1:8" x14ac:dyDescent="0.3">
      <c r="A294" s="14" t="s">
        <v>32</v>
      </c>
      <c r="B294" s="5">
        <v>2021</v>
      </c>
      <c r="C294" s="5" t="s">
        <v>35</v>
      </c>
      <c r="D294" s="5">
        <v>2064.4999999999995</v>
      </c>
      <c r="E294" s="5">
        <v>154.80000000000001</v>
      </c>
      <c r="F294" s="5">
        <v>141.69999999999999</v>
      </c>
      <c r="G294" s="5">
        <v>157.6</v>
      </c>
      <c r="H294" s="15">
        <v>156.9</v>
      </c>
    </row>
    <row r="295" spans="1:8" x14ac:dyDescent="0.3">
      <c r="A295" s="14" t="s">
        <v>33</v>
      </c>
      <c r="B295" s="5">
        <v>2021</v>
      </c>
      <c r="C295" s="5" t="s">
        <v>35</v>
      </c>
      <c r="D295" s="5">
        <v>2039.3999999999999</v>
      </c>
      <c r="E295" s="5">
        <v>155.5</v>
      </c>
      <c r="F295" s="5">
        <v>146.19999999999999</v>
      </c>
      <c r="G295" s="5">
        <v>160.19999999999999</v>
      </c>
      <c r="H295" s="15">
        <v>161.69999999999999</v>
      </c>
    </row>
    <row r="296" spans="1:8" x14ac:dyDescent="0.3">
      <c r="A296" s="14" t="s">
        <v>30</v>
      </c>
      <c r="B296" s="5">
        <v>2021</v>
      </c>
      <c r="C296" s="5" t="s">
        <v>36</v>
      </c>
      <c r="D296" s="5">
        <v>2049.5</v>
      </c>
      <c r="E296" s="5">
        <v>156</v>
      </c>
      <c r="F296" s="5">
        <v>151.69999999999999</v>
      </c>
      <c r="G296" s="5">
        <v>164.1</v>
      </c>
      <c r="H296" s="15">
        <v>165.3</v>
      </c>
    </row>
    <row r="297" spans="1:8" x14ac:dyDescent="0.3">
      <c r="A297" s="14" t="s">
        <v>32</v>
      </c>
      <c r="B297" s="5">
        <v>2021</v>
      </c>
      <c r="C297" s="5" t="s">
        <v>36</v>
      </c>
      <c r="D297" s="5">
        <v>2089.6</v>
      </c>
      <c r="E297" s="5">
        <v>154.9</v>
      </c>
      <c r="F297" s="5">
        <v>142.1</v>
      </c>
      <c r="G297" s="5">
        <v>157.6</v>
      </c>
      <c r="H297" s="15">
        <v>157.5</v>
      </c>
    </row>
    <row r="298" spans="1:8" x14ac:dyDescent="0.3">
      <c r="A298" s="14" t="s">
        <v>33</v>
      </c>
      <c r="B298" s="5">
        <v>2021</v>
      </c>
      <c r="C298" s="5" t="s">
        <v>36</v>
      </c>
      <c r="D298" s="5">
        <v>2064.1</v>
      </c>
      <c r="E298" s="5">
        <v>155.6</v>
      </c>
      <c r="F298" s="5">
        <v>146.6</v>
      </c>
      <c r="G298" s="5">
        <v>160.30000000000001</v>
      </c>
      <c r="H298" s="15">
        <v>162.30000000000001</v>
      </c>
    </row>
    <row r="299" spans="1:8" x14ac:dyDescent="0.3">
      <c r="A299" s="14" t="s">
        <v>30</v>
      </c>
      <c r="B299" s="5">
        <v>2021</v>
      </c>
      <c r="C299" s="5" t="s">
        <v>37</v>
      </c>
      <c r="D299" s="5">
        <v>2095.2999999999997</v>
      </c>
      <c r="E299" s="5">
        <v>161.69999999999999</v>
      </c>
      <c r="F299" s="5">
        <v>153.19999999999999</v>
      </c>
      <c r="G299" s="5">
        <v>167.6</v>
      </c>
      <c r="H299" s="15">
        <v>169.1</v>
      </c>
    </row>
    <row r="300" spans="1:8" x14ac:dyDescent="0.3">
      <c r="A300" s="14" t="s">
        <v>32</v>
      </c>
      <c r="B300" s="5">
        <v>2021</v>
      </c>
      <c r="C300" s="5" t="s">
        <v>37</v>
      </c>
      <c r="D300" s="5">
        <v>2124.7000000000003</v>
      </c>
      <c r="E300" s="5">
        <v>155.5</v>
      </c>
      <c r="F300" s="5">
        <v>145</v>
      </c>
      <c r="G300" s="5">
        <v>156.6</v>
      </c>
      <c r="H300" s="15">
        <v>160.4</v>
      </c>
    </row>
    <row r="301" spans="1:8" x14ac:dyDescent="0.3">
      <c r="A301" s="14" t="s">
        <v>33</v>
      </c>
      <c r="B301" s="5">
        <v>2021</v>
      </c>
      <c r="C301" s="5" t="s">
        <v>37</v>
      </c>
      <c r="D301" s="5">
        <v>2105.7000000000003</v>
      </c>
      <c r="E301" s="5">
        <v>159.4</v>
      </c>
      <c r="F301" s="5">
        <v>148.9</v>
      </c>
      <c r="G301" s="5">
        <v>161.19999999999999</v>
      </c>
      <c r="H301" s="15">
        <v>165.8</v>
      </c>
    </row>
    <row r="302" spans="1:8" x14ac:dyDescent="0.3">
      <c r="A302" s="14" t="s">
        <v>30</v>
      </c>
      <c r="B302" s="5">
        <v>2021</v>
      </c>
      <c r="C302" s="5" t="s">
        <v>38</v>
      </c>
      <c r="D302" s="5">
        <v>2122.6</v>
      </c>
      <c r="E302" s="5">
        <v>162.1</v>
      </c>
      <c r="F302" s="5">
        <v>154.19999999999999</v>
      </c>
      <c r="G302" s="5">
        <v>166.8</v>
      </c>
      <c r="H302" s="15">
        <v>169.7</v>
      </c>
    </row>
    <row r="303" spans="1:8" x14ac:dyDescent="0.3">
      <c r="A303" s="14" t="s">
        <v>32</v>
      </c>
      <c r="B303" s="5">
        <v>2021</v>
      </c>
      <c r="C303" s="5" t="s">
        <v>38</v>
      </c>
      <c r="D303" s="5">
        <v>2154.1999999999998</v>
      </c>
      <c r="E303" s="5">
        <v>156.1</v>
      </c>
      <c r="F303" s="5">
        <v>147.5</v>
      </c>
      <c r="G303" s="5">
        <v>158.1</v>
      </c>
      <c r="H303" s="15">
        <v>160.80000000000001</v>
      </c>
    </row>
    <row r="304" spans="1:8" x14ac:dyDescent="0.3">
      <c r="A304" s="14" t="s">
        <v>33</v>
      </c>
      <c r="B304" s="5">
        <v>2021</v>
      </c>
      <c r="C304" s="5" t="s">
        <v>38</v>
      </c>
      <c r="D304" s="5">
        <v>2133.9</v>
      </c>
      <c r="E304" s="5">
        <v>159.80000000000001</v>
      </c>
      <c r="F304" s="5">
        <v>150.69999999999999</v>
      </c>
      <c r="G304" s="5">
        <v>161.69999999999999</v>
      </c>
      <c r="H304" s="15">
        <v>166.3</v>
      </c>
    </row>
    <row r="305" spans="1:8" x14ac:dyDescent="0.3">
      <c r="A305" s="14" t="s">
        <v>30</v>
      </c>
      <c r="B305" s="5">
        <v>2021</v>
      </c>
      <c r="C305" s="5" t="s">
        <v>39</v>
      </c>
      <c r="D305" s="5">
        <v>2132.4</v>
      </c>
      <c r="E305" s="5">
        <v>162.5</v>
      </c>
      <c r="F305" s="5">
        <v>157.1</v>
      </c>
      <c r="G305" s="5">
        <v>167.2</v>
      </c>
      <c r="H305" s="15">
        <v>170.4</v>
      </c>
    </row>
    <row r="306" spans="1:8" x14ac:dyDescent="0.3">
      <c r="A306" s="14" t="s">
        <v>32</v>
      </c>
      <c r="B306" s="5">
        <v>2021</v>
      </c>
      <c r="C306" s="5" t="s">
        <v>39</v>
      </c>
      <c r="D306" s="5">
        <v>2171.8000000000002</v>
      </c>
      <c r="E306" s="5">
        <v>157.69999999999999</v>
      </c>
      <c r="F306" s="5">
        <v>149.5</v>
      </c>
      <c r="G306" s="5">
        <v>160.30000000000001</v>
      </c>
      <c r="H306" s="15">
        <v>161.5</v>
      </c>
    </row>
    <row r="307" spans="1:8" x14ac:dyDescent="0.3">
      <c r="A307" s="14" t="s">
        <v>33</v>
      </c>
      <c r="B307" s="5">
        <v>2021</v>
      </c>
      <c r="C307" s="5" t="s">
        <v>39</v>
      </c>
      <c r="D307" s="5">
        <v>2147</v>
      </c>
      <c r="E307" s="5">
        <v>160.69999999999999</v>
      </c>
      <c r="F307" s="5">
        <v>153.1</v>
      </c>
      <c r="G307" s="5">
        <v>163.19999999999999</v>
      </c>
      <c r="H307" s="15">
        <v>167</v>
      </c>
    </row>
    <row r="308" spans="1:8" x14ac:dyDescent="0.3">
      <c r="A308" s="14" t="s">
        <v>30</v>
      </c>
      <c r="B308" s="5">
        <v>2021</v>
      </c>
      <c r="C308" s="5" t="s">
        <v>40</v>
      </c>
      <c r="D308" s="5">
        <v>2130.8000000000002</v>
      </c>
      <c r="E308" s="5">
        <v>163.1</v>
      </c>
      <c r="F308" s="5">
        <v>157.69999999999999</v>
      </c>
      <c r="G308" s="5">
        <v>167.5</v>
      </c>
      <c r="H308" s="15">
        <v>171.1</v>
      </c>
    </row>
    <row r="309" spans="1:8" x14ac:dyDescent="0.3">
      <c r="A309" s="14" t="s">
        <v>32</v>
      </c>
      <c r="B309" s="5">
        <v>2021</v>
      </c>
      <c r="C309" s="5" t="s">
        <v>40</v>
      </c>
      <c r="D309" s="5">
        <v>2157.9</v>
      </c>
      <c r="E309" s="5">
        <v>160.69999999999999</v>
      </c>
      <c r="F309" s="5">
        <v>150.4</v>
      </c>
      <c r="G309" s="5">
        <v>160.4</v>
      </c>
      <c r="H309" s="15">
        <v>162.80000000000001</v>
      </c>
    </row>
    <row r="310" spans="1:8" x14ac:dyDescent="0.3">
      <c r="A310" s="14" t="s">
        <v>33</v>
      </c>
      <c r="B310" s="5">
        <v>2021</v>
      </c>
      <c r="C310" s="5" t="s">
        <v>40</v>
      </c>
      <c r="D310" s="5">
        <v>2142</v>
      </c>
      <c r="E310" s="5">
        <v>162.6</v>
      </c>
      <c r="F310" s="5">
        <v>154</v>
      </c>
      <c r="G310" s="5">
        <v>163.80000000000001</v>
      </c>
      <c r="H310" s="15">
        <v>168.4</v>
      </c>
    </row>
    <row r="311" spans="1:8" x14ac:dyDescent="0.3">
      <c r="A311" s="14" t="s">
        <v>30</v>
      </c>
      <c r="B311" s="5">
        <v>2021</v>
      </c>
      <c r="C311" s="5" t="s">
        <v>41</v>
      </c>
      <c r="D311" s="5">
        <v>2133.6</v>
      </c>
      <c r="E311" s="5">
        <v>163.69999999999999</v>
      </c>
      <c r="F311" s="5">
        <v>157.80000000000001</v>
      </c>
      <c r="G311" s="5">
        <v>168.5</v>
      </c>
      <c r="H311" s="15">
        <v>171.9</v>
      </c>
    </row>
    <row r="312" spans="1:8" x14ac:dyDescent="0.3">
      <c r="A312" s="14" t="s">
        <v>32</v>
      </c>
      <c r="B312" s="5">
        <v>2021</v>
      </c>
      <c r="C312" s="5" t="s">
        <v>41</v>
      </c>
      <c r="D312" s="5">
        <v>2157.9</v>
      </c>
      <c r="E312" s="5">
        <v>160.80000000000001</v>
      </c>
      <c r="F312" s="5">
        <v>150.5</v>
      </c>
      <c r="G312" s="5">
        <v>160.30000000000001</v>
      </c>
      <c r="H312" s="15">
        <v>162.80000000000001</v>
      </c>
    </row>
    <row r="313" spans="1:8" x14ac:dyDescent="0.3">
      <c r="A313" s="14" t="s">
        <v>33</v>
      </c>
      <c r="B313" s="5">
        <v>2021</v>
      </c>
      <c r="C313" s="5" t="s">
        <v>41</v>
      </c>
      <c r="D313" s="5">
        <v>2142</v>
      </c>
      <c r="E313" s="5">
        <v>162.6</v>
      </c>
      <c r="F313" s="5">
        <v>154</v>
      </c>
      <c r="G313" s="5">
        <v>163.69999999999999</v>
      </c>
      <c r="H313" s="15">
        <v>168.4</v>
      </c>
    </row>
    <row r="314" spans="1:8" x14ac:dyDescent="0.3">
      <c r="A314" s="14" t="s">
        <v>30</v>
      </c>
      <c r="B314" s="5">
        <v>2021</v>
      </c>
      <c r="C314" s="5" t="s">
        <v>42</v>
      </c>
      <c r="D314" s="5">
        <v>2164.1999999999998</v>
      </c>
      <c r="E314" s="5">
        <v>165.5</v>
      </c>
      <c r="F314" s="5">
        <v>159.5</v>
      </c>
      <c r="G314" s="5">
        <v>169</v>
      </c>
      <c r="H314" s="15">
        <v>172.5</v>
      </c>
    </row>
    <row r="315" spans="1:8" x14ac:dyDescent="0.3">
      <c r="A315" s="14" t="s">
        <v>32</v>
      </c>
      <c r="B315" s="5">
        <v>2021</v>
      </c>
      <c r="C315" s="5" t="s">
        <v>42</v>
      </c>
      <c r="D315" s="5">
        <v>2198.4000000000005</v>
      </c>
      <c r="E315" s="5">
        <v>162.19999999999999</v>
      </c>
      <c r="F315" s="5">
        <v>152.19999999999999</v>
      </c>
      <c r="G315" s="5">
        <v>160.30000000000001</v>
      </c>
      <c r="H315" s="15">
        <v>163.5</v>
      </c>
    </row>
    <row r="316" spans="1:8" x14ac:dyDescent="0.3">
      <c r="A316" s="14" t="s">
        <v>33</v>
      </c>
      <c r="B316" s="5">
        <v>2021</v>
      </c>
      <c r="C316" s="5" t="s">
        <v>42</v>
      </c>
      <c r="D316" s="5">
        <v>2175.5</v>
      </c>
      <c r="E316" s="5">
        <v>164.2</v>
      </c>
      <c r="F316" s="5">
        <v>155.69999999999999</v>
      </c>
      <c r="G316" s="5">
        <v>163.9</v>
      </c>
      <c r="H316" s="15">
        <v>169.1</v>
      </c>
    </row>
    <row r="317" spans="1:8" x14ac:dyDescent="0.3">
      <c r="A317" s="14" t="s">
        <v>30</v>
      </c>
      <c r="B317" s="5">
        <v>2021</v>
      </c>
      <c r="C317" s="5" t="s">
        <v>44</v>
      </c>
      <c r="D317" s="5">
        <v>2182</v>
      </c>
      <c r="E317" s="5">
        <v>165.3</v>
      </c>
      <c r="F317" s="5">
        <v>158.9</v>
      </c>
      <c r="G317" s="5">
        <v>169.3</v>
      </c>
      <c r="H317" s="15">
        <v>173.4</v>
      </c>
    </row>
    <row r="318" spans="1:8" x14ac:dyDescent="0.3">
      <c r="A318" s="14" t="s">
        <v>32</v>
      </c>
      <c r="B318" s="5">
        <v>2021</v>
      </c>
      <c r="C318" s="5" t="s">
        <v>44</v>
      </c>
      <c r="D318" s="5">
        <v>2217.8999999999996</v>
      </c>
      <c r="E318" s="5">
        <v>161.6</v>
      </c>
      <c r="F318" s="5">
        <v>151.19999999999999</v>
      </c>
      <c r="G318" s="5">
        <v>160.80000000000001</v>
      </c>
      <c r="H318" s="15">
        <v>164.2</v>
      </c>
    </row>
    <row r="319" spans="1:8" x14ac:dyDescent="0.3">
      <c r="A319" s="14" t="s">
        <v>33</v>
      </c>
      <c r="B319" s="5">
        <v>2021</v>
      </c>
      <c r="C319" s="5" t="s">
        <v>44</v>
      </c>
      <c r="D319" s="5">
        <v>2194.1</v>
      </c>
      <c r="E319" s="5">
        <v>163.9</v>
      </c>
      <c r="F319" s="5">
        <v>154.80000000000001</v>
      </c>
      <c r="G319" s="5">
        <v>164.3</v>
      </c>
      <c r="H319" s="15">
        <v>169.9</v>
      </c>
    </row>
    <row r="320" spans="1:8" x14ac:dyDescent="0.3">
      <c r="A320" s="14" t="s">
        <v>30</v>
      </c>
      <c r="B320" s="5">
        <v>2021</v>
      </c>
      <c r="C320" s="5" t="s">
        <v>45</v>
      </c>
      <c r="D320" s="5">
        <v>2168.1999999999998</v>
      </c>
      <c r="E320" s="5">
        <v>165.6</v>
      </c>
      <c r="F320" s="5">
        <v>160.1</v>
      </c>
      <c r="G320" s="5">
        <v>169.7</v>
      </c>
      <c r="H320" s="15">
        <v>174</v>
      </c>
    </row>
    <row r="321" spans="1:8" x14ac:dyDescent="0.3">
      <c r="A321" s="14" t="s">
        <v>32</v>
      </c>
      <c r="B321" s="5">
        <v>2021</v>
      </c>
      <c r="C321" s="5" t="s">
        <v>45</v>
      </c>
      <c r="D321" s="5">
        <v>2206.3000000000002</v>
      </c>
      <c r="E321" s="5">
        <v>161.69999999999999</v>
      </c>
      <c r="F321" s="5">
        <v>151.80000000000001</v>
      </c>
      <c r="G321" s="5">
        <v>160.6</v>
      </c>
      <c r="H321" s="15">
        <v>165.1</v>
      </c>
    </row>
    <row r="322" spans="1:8" x14ac:dyDescent="0.3">
      <c r="A322" s="14" t="s">
        <v>33</v>
      </c>
      <c r="B322" s="5">
        <v>2021</v>
      </c>
      <c r="C322" s="5" t="s">
        <v>45</v>
      </c>
      <c r="D322" s="5">
        <v>2180.9</v>
      </c>
      <c r="E322" s="5">
        <v>164.1</v>
      </c>
      <c r="F322" s="5">
        <v>155.69999999999999</v>
      </c>
      <c r="G322" s="5">
        <v>164.4</v>
      </c>
      <c r="H322" s="15">
        <v>170.6</v>
      </c>
    </row>
    <row r="323" spans="1:8" x14ac:dyDescent="0.3">
      <c r="A323" s="14" t="s">
        <v>30</v>
      </c>
      <c r="B323" s="5">
        <v>2022</v>
      </c>
      <c r="C323" s="5" t="s">
        <v>31</v>
      </c>
      <c r="D323" s="5">
        <v>2153</v>
      </c>
      <c r="E323" s="5">
        <v>165.8</v>
      </c>
      <c r="F323" s="5">
        <v>160.80000000000001</v>
      </c>
      <c r="G323" s="5">
        <v>169.9</v>
      </c>
      <c r="H323" s="15">
        <v>174.7</v>
      </c>
    </row>
    <row r="324" spans="1:8" x14ac:dyDescent="0.3">
      <c r="A324" s="14" t="s">
        <v>32</v>
      </c>
      <c r="B324" s="5">
        <v>2022</v>
      </c>
      <c r="C324" s="5" t="s">
        <v>31</v>
      </c>
      <c r="D324" s="5">
        <v>2186.6999999999998</v>
      </c>
      <c r="E324" s="5">
        <v>161.6</v>
      </c>
      <c r="F324" s="5">
        <v>152.69999999999999</v>
      </c>
      <c r="G324" s="5">
        <v>161</v>
      </c>
      <c r="H324" s="15">
        <v>166.1</v>
      </c>
    </row>
    <row r="325" spans="1:8" x14ac:dyDescent="0.3">
      <c r="A325" s="14" t="s">
        <v>33</v>
      </c>
      <c r="B325" s="5">
        <v>2022</v>
      </c>
      <c r="C325" s="5" t="s">
        <v>31</v>
      </c>
      <c r="D325" s="5">
        <v>2164.1999999999998</v>
      </c>
      <c r="E325" s="5">
        <v>164.2</v>
      </c>
      <c r="F325" s="5">
        <v>156.5</v>
      </c>
      <c r="G325" s="5">
        <v>164.7</v>
      </c>
      <c r="H325" s="15">
        <v>171.4</v>
      </c>
    </row>
    <row r="326" spans="1:8" x14ac:dyDescent="0.3">
      <c r="A326" s="14" t="s">
        <v>30</v>
      </c>
      <c r="B326" s="5">
        <v>2022</v>
      </c>
      <c r="C326" s="5" t="s">
        <v>34</v>
      </c>
      <c r="D326" s="5">
        <v>2150.4</v>
      </c>
      <c r="E326" s="5">
        <v>167.4</v>
      </c>
      <c r="F326" s="5">
        <v>161.19999999999999</v>
      </c>
      <c r="G326" s="5">
        <v>170.3</v>
      </c>
      <c r="H326" s="15">
        <v>175.3</v>
      </c>
    </row>
    <row r="327" spans="1:8" x14ac:dyDescent="0.3">
      <c r="A327" s="14" t="s">
        <v>32</v>
      </c>
      <c r="B327" s="5">
        <v>2022</v>
      </c>
      <c r="C327" s="5" t="s">
        <v>34</v>
      </c>
      <c r="D327" s="5">
        <v>2183.5</v>
      </c>
      <c r="E327" s="5">
        <v>163</v>
      </c>
      <c r="F327" s="5">
        <v>153.1</v>
      </c>
      <c r="G327" s="5">
        <v>162</v>
      </c>
      <c r="H327" s="15">
        <v>167.2</v>
      </c>
    </row>
    <row r="328" spans="1:8" x14ac:dyDescent="0.3">
      <c r="A328" s="14" t="s">
        <v>33</v>
      </c>
      <c r="B328" s="5">
        <v>2022</v>
      </c>
      <c r="C328" s="5" t="s">
        <v>34</v>
      </c>
      <c r="D328" s="5">
        <v>2161.2000000000003</v>
      </c>
      <c r="E328" s="5">
        <v>165.7</v>
      </c>
      <c r="F328" s="5">
        <v>156.9</v>
      </c>
      <c r="G328" s="5">
        <v>165.4</v>
      </c>
      <c r="H328" s="15">
        <v>172.2</v>
      </c>
    </row>
    <row r="329" spans="1:8" x14ac:dyDescent="0.3">
      <c r="A329" s="14" t="s">
        <v>30</v>
      </c>
      <c r="B329" s="5">
        <v>2022</v>
      </c>
      <c r="C329" s="5" t="s">
        <v>35</v>
      </c>
      <c r="D329" s="5">
        <v>2179.1000000000004</v>
      </c>
      <c r="E329" s="5">
        <v>168.9</v>
      </c>
      <c r="F329" s="5">
        <v>162</v>
      </c>
      <c r="G329" s="5">
        <v>170.6</v>
      </c>
      <c r="H329" s="15">
        <v>176</v>
      </c>
    </row>
    <row r="330" spans="1:8" x14ac:dyDescent="0.3">
      <c r="A330" s="14" t="s">
        <v>32</v>
      </c>
      <c r="B330" s="5">
        <v>2022</v>
      </c>
      <c r="C330" s="5" t="s">
        <v>35</v>
      </c>
      <c r="D330" s="5">
        <v>2196.3000000000002</v>
      </c>
      <c r="E330" s="5">
        <v>164.5</v>
      </c>
      <c r="F330" s="5">
        <v>154.19999999999999</v>
      </c>
      <c r="G330" s="5">
        <v>162.69999999999999</v>
      </c>
      <c r="H330" s="15">
        <v>168.2</v>
      </c>
    </row>
    <row r="331" spans="1:8" x14ac:dyDescent="0.3">
      <c r="A331" s="14" t="s">
        <v>33</v>
      </c>
      <c r="B331" s="5">
        <v>2022</v>
      </c>
      <c r="C331" s="5" t="s">
        <v>35</v>
      </c>
      <c r="D331" s="5">
        <v>2184.2000000000003</v>
      </c>
      <c r="E331" s="5">
        <v>167.2</v>
      </c>
      <c r="F331" s="5">
        <v>157.9</v>
      </c>
      <c r="G331" s="5">
        <v>166</v>
      </c>
      <c r="H331" s="15">
        <v>173</v>
      </c>
    </row>
    <row r="332" spans="1:8" x14ac:dyDescent="0.3">
      <c r="A332" s="14" t="s">
        <v>30</v>
      </c>
      <c r="B332" s="5">
        <v>2022</v>
      </c>
      <c r="C332" s="5" t="s">
        <v>36</v>
      </c>
      <c r="D332" s="5">
        <v>2206.6</v>
      </c>
      <c r="E332" s="5">
        <v>173.3</v>
      </c>
      <c r="F332" s="5">
        <v>166.2</v>
      </c>
      <c r="G332" s="5">
        <v>170.9</v>
      </c>
      <c r="H332" s="15">
        <v>177</v>
      </c>
    </row>
    <row r="333" spans="1:8" x14ac:dyDescent="0.3">
      <c r="A333" s="14" t="s">
        <v>32</v>
      </c>
      <c r="B333" s="5">
        <v>2022</v>
      </c>
      <c r="C333" s="5" t="s">
        <v>36</v>
      </c>
      <c r="D333" s="5">
        <v>2230.4</v>
      </c>
      <c r="E333" s="5">
        <v>170.5</v>
      </c>
      <c r="F333" s="5">
        <v>159.30000000000001</v>
      </c>
      <c r="G333" s="5">
        <v>164</v>
      </c>
      <c r="H333" s="15">
        <v>169</v>
      </c>
    </row>
    <row r="334" spans="1:8" x14ac:dyDescent="0.3">
      <c r="A334" s="14" t="s">
        <v>33</v>
      </c>
      <c r="B334" s="5">
        <v>2022</v>
      </c>
      <c r="C334" s="5" t="s">
        <v>36</v>
      </c>
      <c r="D334" s="5">
        <v>2214.3000000000002</v>
      </c>
      <c r="E334" s="5">
        <v>172.2</v>
      </c>
      <c r="F334" s="5">
        <v>162.6</v>
      </c>
      <c r="G334" s="5">
        <v>166.9</v>
      </c>
      <c r="H334" s="15">
        <v>174</v>
      </c>
    </row>
    <row r="335" spans="1:8" x14ac:dyDescent="0.3">
      <c r="A335" s="14" t="s">
        <v>30</v>
      </c>
      <c r="B335" s="5">
        <v>2022</v>
      </c>
      <c r="C335" s="5" t="s">
        <v>37</v>
      </c>
      <c r="D335" s="5">
        <v>2226.8000000000002</v>
      </c>
      <c r="E335" s="5">
        <v>175.3</v>
      </c>
      <c r="F335" s="5">
        <v>167.1</v>
      </c>
      <c r="G335" s="5">
        <v>171.8</v>
      </c>
      <c r="H335" s="15">
        <v>177.7</v>
      </c>
    </row>
    <row r="336" spans="1:8" x14ac:dyDescent="0.3">
      <c r="A336" s="14" t="s">
        <v>32</v>
      </c>
      <c r="B336" s="5">
        <v>2022</v>
      </c>
      <c r="C336" s="5" t="s">
        <v>37</v>
      </c>
      <c r="D336" s="5">
        <v>2262.2000000000003</v>
      </c>
      <c r="E336" s="5">
        <v>173.5</v>
      </c>
      <c r="F336" s="5">
        <v>159.4</v>
      </c>
      <c r="G336" s="5">
        <v>165.2</v>
      </c>
      <c r="H336" s="15">
        <v>170.1</v>
      </c>
    </row>
    <row r="337" spans="1:8" x14ac:dyDescent="0.3">
      <c r="A337" s="14" t="s">
        <v>33</v>
      </c>
      <c r="B337" s="5">
        <v>2022</v>
      </c>
      <c r="C337" s="5" t="s">
        <v>37</v>
      </c>
      <c r="D337" s="5">
        <v>2238.9000000000005</v>
      </c>
      <c r="E337" s="5">
        <v>174.6</v>
      </c>
      <c r="F337" s="5">
        <v>163</v>
      </c>
      <c r="G337" s="5">
        <v>167.9</v>
      </c>
      <c r="H337" s="15">
        <v>174.8</v>
      </c>
    </row>
    <row r="338" spans="1:8" x14ac:dyDescent="0.3">
      <c r="A338" s="14" t="s">
        <v>30</v>
      </c>
      <c r="B338" s="5">
        <v>2022</v>
      </c>
      <c r="C338" s="5" t="s">
        <v>38</v>
      </c>
      <c r="D338" s="5">
        <v>2248.3000000000002</v>
      </c>
      <c r="E338" s="5">
        <v>176.7</v>
      </c>
      <c r="F338" s="5">
        <v>165.5</v>
      </c>
      <c r="G338" s="5">
        <v>172.6</v>
      </c>
      <c r="H338" s="15">
        <v>178.2</v>
      </c>
    </row>
    <row r="339" spans="1:8" x14ac:dyDescent="0.3">
      <c r="A339" s="14" t="s">
        <v>32</v>
      </c>
      <c r="B339" s="5">
        <v>2022</v>
      </c>
      <c r="C339" s="5" t="s">
        <v>38</v>
      </c>
      <c r="D339" s="5">
        <v>2287.5</v>
      </c>
      <c r="E339" s="5">
        <v>174.9</v>
      </c>
      <c r="F339" s="5">
        <v>157.19999999999999</v>
      </c>
      <c r="G339" s="5">
        <v>166.5</v>
      </c>
      <c r="H339" s="15">
        <v>170.9</v>
      </c>
    </row>
    <row r="340" spans="1:8" x14ac:dyDescent="0.3">
      <c r="A340" s="14" t="s">
        <v>33</v>
      </c>
      <c r="B340" s="5">
        <v>2022</v>
      </c>
      <c r="C340" s="5" t="s">
        <v>38</v>
      </c>
      <c r="D340" s="5">
        <v>2261.9</v>
      </c>
      <c r="E340" s="5">
        <v>176</v>
      </c>
      <c r="F340" s="5">
        <v>161.1</v>
      </c>
      <c r="G340" s="5">
        <v>169</v>
      </c>
      <c r="H340" s="15">
        <v>175.4</v>
      </c>
    </row>
    <row r="341" spans="1:8" x14ac:dyDescent="0.3">
      <c r="A341" s="14" t="s">
        <v>30</v>
      </c>
      <c r="B341" s="5">
        <v>2022</v>
      </c>
      <c r="C341" s="5" t="s">
        <v>39</v>
      </c>
      <c r="D341" s="5">
        <v>2252.5</v>
      </c>
      <c r="E341" s="5">
        <v>179.6</v>
      </c>
      <c r="F341" s="5">
        <v>166.3</v>
      </c>
      <c r="G341" s="5">
        <v>174.7</v>
      </c>
      <c r="H341" s="15">
        <v>178.8</v>
      </c>
    </row>
    <row r="342" spans="1:8" x14ac:dyDescent="0.3">
      <c r="A342" s="14" t="s">
        <v>32</v>
      </c>
      <c r="B342" s="5">
        <v>2022</v>
      </c>
      <c r="C342" s="5" t="s">
        <v>39</v>
      </c>
      <c r="D342" s="5">
        <v>2291.6</v>
      </c>
      <c r="E342" s="5">
        <v>179.5</v>
      </c>
      <c r="F342" s="5">
        <v>157.4</v>
      </c>
      <c r="G342" s="5">
        <v>169.1</v>
      </c>
      <c r="H342" s="15">
        <v>171.7</v>
      </c>
    </row>
    <row r="343" spans="1:8" x14ac:dyDescent="0.3">
      <c r="A343" s="14" t="s">
        <v>33</v>
      </c>
      <c r="B343" s="5">
        <v>2022</v>
      </c>
      <c r="C343" s="5" t="s">
        <v>39</v>
      </c>
      <c r="D343" s="5">
        <v>2266.3000000000002</v>
      </c>
      <c r="E343" s="5">
        <v>179.6</v>
      </c>
      <c r="F343" s="5">
        <v>161.6</v>
      </c>
      <c r="G343" s="5">
        <v>171.4</v>
      </c>
      <c r="H343" s="15">
        <v>176.1</v>
      </c>
    </row>
    <row r="344" spans="1:8" x14ac:dyDescent="0.3">
      <c r="A344" s="14" t="s">
        <v>30</v>
      </c>
      <c r="B344" s="5">
        <v>2022</v>
      </c>
      <c r="C344" s="5" t="s">
        <v>40</v>
      </c>
      <c r="D344" s="5">
        <v>2255.7999999999997</v>
      </c>
      <c r="E344" s="5">
        <v>179.1</v>
      </c>
      <c r="F344" s="5">
        <v>166.6</v>
      </c>
      <c r="G344" s="5">
        <v>175.7</v>
      </c>
      <c r="H344" s="15">
        <v>179.4</v>
      </c>
    </row>
    <row r="345" spans="1:8" x14ac:dyDescent="0.3">
      <c r="A345" s="14" t="s">
        <v>32</v>
      </c>
      <c r="B345" s="5">
        <v>2022</v>
      </c>
      <c r="C345" s="5" t="s">
        <v>40</v>
      </c>
      <c r="D345" s="5">
        <v>2293.6999999999998</v>
      </c>
      <c r="E345" s="5">
        <v>178.4</v>
      </c>
      <c r="F345" s="5">
        <v>157.69999999999999</v>
      </c>
      <c r="G345" s="5">
        <v>169.9</v>
      </c>
      <c r="H345" s="15">
        <v>172.6</v>
      </c>
    </row>
    <row r="346" spans="1:8" x14ac:dyDescent="0.3">
      <c r="A346" s="14" t="s">
        <v>33</v>
      </c>
      <c r="B346" s="5">
        <v>2022</v>
      </c>
      <c r="C346" s="5" t="s">
        <v>40</v>
      </c>
      <c r="D346" s="5">
        <v>2269.2000000000003</v>
      </c>
      <c r="E346" s="5">
        <v>178.8</v>
      </c>
      <c r="F346" s="5">
        <v>161.9</v>
      </c>
      <c r="G346" s="5">
        <v>172.3</v>
      </c>
      <c r="H346" s="15">
        <v>176.8</v>
      </c>
    </row>
    <row r="347" spans="1:8" x14ac:dyDescent="0.3">
      <c r="A347" s="14" t="s">
        <v>30</v>
      </c>
      <c r="B347" s="5">
        <v>2022</v>
      </c>
      <c r="C347" s="5" t="s">
        <v>41</v>
      </c>
      <c r="D347" s="5">
        <v>2267.8000000000002</v>
      </c>
      <c r="E347" s="5">
        <v>179.7</v>
      </c>
      <c r="F347" s="5">
        <v>166.9</v>
      </c>
      <c r="G347" s="5">
        <v>176.2</v>
      </c>
      <c r="H347" s="15">
        <v>180.2</v>
      </c>
    </row>
    <row r="348" spans="1:8" x14ac:dyDescent="0.3">
      <c r="A348" s="14" t="s">
        <v>32</v>
      </c>
      <c r="B348" s="5">
        <v>2022</v>
      </c>
      <c r="C348" s="5" t="s">
        <v>41</v>
      </c>
      <c r="D348" s="5">
        <v>2306.4</v>
      </c>
      <c r="E348" s="5">
        <v>179.2</v>
      </c>
      <c r="F348" s="5">
        <v>158.19999999999999</v>
      </c>
      <c r="G348" s="5">
        <v>170.9</v>
      </c>
      <c r="H348" s="15">
        <v>173.8</v>
      </c>
    </row>
    <row r="349" spans="1:8" x14ac:dyDescent="0.3">
      <c r="A349" s="14" t="s">
        <v>33</v>
      </c>
      <c r="B349" s="5">
        <v>2022</v>
      </c>
      <c r="C349" s="5" t="s">
        <v>41</v>
      </c>
      <c r="D349" s="5">
        <v>2280.9</v>
      </c>
      <c r="E349" s="5">
        <v>179.5</v>
      </c>
      <c r="F349" s="5">
        <v>162.30000000000001</v>
      </c>
      <c r="G349" s="5">
        <v>173.1</v>
      </c>
      <c r="H349" s="15">
        <v>177.8</v>
      </c>
    </row>
    <row r="350" spans="1:8" x14ac:dyDescent="0.3">
      <c r="A350" s="14" t="s">
        <v>30</v>
      </c>
      <c r="B350" s="5">
        <v>2022</v>
      </c>
      <c r="C350" s="5" t="s">
        <v>42</v>
      </c>
      <c r="D350" s="5">
        <v>2284.5</v>
      </c>
      <c r="E350" s="5">
        <v>180.8</v>
      </c>
      <c r="F350" s="5">
        <v>167.4</v>
      </c>
      <c r="G350" s="5">
        <v>176.5</v>
      </c>
      <c r="H350" s="15">
        <v>181.2</v>
      </c>
    </row>
    <row r="351" spans="1:8" x14ac:dyDescent="0.3">
      <c r="A351" s="14" t="s">
        <v>32</v>
      </c>
      <c r="B351" s="5">
        <v>2022</v>
      </c>
      <c r="C351" s="5" t="s">
        <v>42</v>
      </c>
      <c r="D351" s="5">
        <v>2322.3000000000002</v>
      </c>
      <c r="E351" s="5">
        <v>180</v>
      </c>
      <c r="F351" s="5">
        <v>158.80000000000001</v>
      </c>
      <c r="G351" s="5">
        <v>171.2</v>
      </c>
      <c r="H351" s="15">
        <v>174.7</v>
      </c>
    </row>
    <row r="352" spans="1:8" x14ac:dyDescent="0.3">
      <c r="A352" s="14" t="s">
        <v>33</v>
      </c>
      <c r="B352" s="5">
        <v>2022</v>
      </c>
      <c r="C352" s="5" t="s">
        <v>42</v>
      </c>
      <c r="D352" s="5">
        <v>2297.3000000000002</v>
      </c>
      <c r="E352" s="5">
        <v>180.5</v>
      </c>
      <c r="F352" s="5">
        <v>162.9</v>
      </c>
      <c r="G352" s="5">
        <v>173.4</v>
      </c>
      <c r="H352" s="15">
        <v>178.7</v>
      </c>
    </row>
    <row r="353" spans="1:8" x14ac:dyDescent="0.3">
      <c r="A353" s="14" t="s">
        <v>30</v>
      </c>
      <c r="B353" s="5">
        <v>2022</v>
      </c>
      <c r="C353" s="5" t="s">
        <v>44</v>
      </c>
      <c r="D353" s="5">
        <v>2287.6999999999998</v>
      </c>
      <c r="E353" s="5">
        <v>181.9</v>
      </c>
      <c r="F353" s="5">
        <v>167.5</v>
      </c>
      <c r="G353" s="5">
        <v>176.9</v>
      </c>
      <c r="H353" s="15">
        <v>182.3</v>
      </c>
    </row>
    <row r="354" spans="1:8" x14ac:dyDescent="0.3">
      <c r="A354" s="14" t="s">
        <v>32</v>
      </c>
      <c r="B354" s="5">
        <v>2022</v>
      </c>
      <c r="C354" s="5" t="s">
        <v>44</v>
      </c>
      <c r="D354" s="5">
        <v>2314.4</v>
      </c>
      <c r="E354" s="5">
        <v>180.3</v>
      </c>
      <c r="F354" s="5">
        <v>158.9</v>
      </c>
      <c r="G354" s="5">
        <v>171.5</v>
      </c>
      <c r="H354" s="15">
        <v>175.8</v>
      </c>
    </row>
    <row r="355" spans="1:8" x14ac:dyDescent="0.3">
      <c r="A355" s="14" t="s">
        <v>33</v>
      </c>
      <c r="B355" s="5">
        <v>2022</v>
      </c>
      <c r="C355" s="5" t="s">
        <v>44</v>
      </c>
      <c r="D355" s="5">
        <v>2296.8000000000002</v>
      </c>
      <c r="E355" s="5">
        <v>181.3</v>
      </c>
      <c r="F355" s="5">
        <v>163</v>
      </c>
      <c r="G355" s="5">
        <v>173.7</v>
      </c>
      <c r="H355" s="15">
        <v>179.8</v>
      </c>
    </row>
    <row r="356" spans="1:8" x14ac:dyDescent="0.3">
      <c r="A356" s="14" t="s">
        <v>30</v>
      </c>
      <c r="B356" s="5">
        <v>2022</v>
      </c>
      <c r="C356" s="5" t="s">
        <v>45</v>
      </c>
      <c r="D356" s="5">
        <v>2277.1</v>
      </c>
      <c r="E356" s="5">
        <v>182.8</v>
      </c>
      <c r="F356" s="5">
        <v>167.8</v>
      </c>
      <c r="G356" s="5">
        <v>177.3</v>
      </c>
      <c r="H356" s="15">
        <v>183.5</v>
      </c>
    </row>
    <row r="357" spans="1:8" x14ac:dyDescent="0.3">
      <c r="A357" s="14" t="s">
        <v>32</v>
      </c>
      <c r="B357" s="5">
        <v>2022</v>
      </c>
      <c r="C357" s="5" t="s">
        <v>45</v>
      </c>
      <c r="D357" s="5">
        <v>2295.7999999999997</v>
      </c>
      <c r="E357" s="5">
        <v>180.6</v>
      </c>
      <c r="F357" s="5">
        <v>159.4</v>
      </c>
      <c r="G357" s="5">
        <v>171.8</v>
      </c>
      <c r="H357" s="15">
        <v>177.2</v>
      </c>
    </row>
    <row r="358" spans="1:8" x14ac:dyDescent="0.3">
      <c r="A358" s="14" t="s">
        <v>33</v>
      </c>
      <c r="B358" s="5">
        <v>2022</v>
      </c>
      <c r="C358" s="5" t="s">
        <v>45</v>
      </c>
      <c r="D358" s="5">
        <v>2283.4</v>
      </c>
      <c r="E358" s="5">
        <v>182</v>
      </c>
      <c r="F358" s="5">
        <v>163.4</v>
      </c>
      <c r="G358" s="5">
        <v>174.1</v>
      </c>
      <c r="H358" s="15">
        <v>181.1</v>
      </c>
    </row>
    <row r="359" spans="1:8" x14ac:dyDescent="0.3">
      <c r="A359" s="14" t="s">
        <v>30</v>
      </c>
      <c r="B359" s="5">
        <v>2023</v>
      </c>
      <c r="C359" s="5" t="s">
        <v>31</v>
      </c>
      <c r="D359" s="5">
        <v>2283.2000000000003</v>
      </c>
      <c r="E359" s="5">
        <v>183.2</v>
      </c>
      <c r="F359" s="5">
        <v>168.2</v>
      </c>
      <c r="G359" s="5">
        <v>177.8</v>
      </c>
      <c r="H359" s="15">
        <v>184.7</v>
      </c>
    </row>
    <row r="360" spans="1:8" x14ac:dyDescent="0.3">
      <c r="A360" s="14" t="s">
        <v>32</v>
      </c>
      <c r="B360" s="5">
        <v>2023</v>
      </c>
      <c r="C360" s="5" t="s">
        <v>31</v>
      </c>
      <c r="D360" s="5">
        <v>2310.2000000000003</v>
      </c>
      <c r="E360" s="5">
        <v>180.1</v>
      </c>
      <c r="F360" s="5">
        <v>159.5</v>
      </c>
      <c r="G360" s="5">
        <v>171.8</v>
      </c>
      <c r="H360" s="15">
        <v>178.5</v>
      </c>
    </row>
    <row r="361" spans="1:8" x14ac:dyDescent="0.3">
      <c r="A361" s="14" t="s">
        <v>33</v>
      </c>
      <c r="B361" s="5">
        <v>2023</v>
      </c>
      <c r="C361" s="5" t="s">
        <v>31</v>
      </c>
      <c r="D361" s="5">
        <v>2292.6999999999998</v>
      </c>
      <c r="E361" s="5">
        <v>182</v>
      </c>
      <c r="F361" s="5">
        <v>163.6</v>
      </c>
      <c r="G361" s="5">
        <v>174.3</v>
      </c>
      <c r="H361" s="15">
        <v>182.3</v>
      </c>
    </row>
    <row r="362" spans="1:8" x14ac:dyDescent="0.3">
      <c r="A362" s="14" t="s">
        <v>30</v>
      </c>
      <c r="B362" s="5">
        <v>2023</v>
      </c>
      <c r="C362" s="5" t="s">
        <v>34</v>
      </c>
      <c r="D362" s="5">
        <v>2265.6999999999998</v>
      </c>
      <c r="E362" s="5">
        <v>181.6</v>
      </c>
      <c r="F362" s="5">
        <v>169</v>
      </c>
      <c r="G362" s="5">
        <v>178.5</v>
      </c>
      <c r="H362" s="15">
        <v>186.6</v>
      </c>
    </row>
    <row r="363" spans="1:8" x14ac:dyDescent="0.3">
      <c r="A363" s="14" t="s">
        <v>32</v>
      </c>
      <c r="B363" s="5">
        <v>2023</v>
      </c>
      <c r="C363" s="5" t="s">
        <v>34</v>
      </c>
      <c r="D363" s="5">
        <v>2303.1999999999998</v>
      </c>
      <c r="E363" s="5">
        <v>182.8</v>
      </c>
      <c r="F363" s="5">
        <v>159.80000000000001</v>
      </c>
      <c r="G363" s="5">
        <v>172.5</v>
      </c>
      <c r="H363" s="15">
        <v>180.8</v>
      </c>
    </row>
    <row r="364" spans="1:8" x14ac:dyDescent="0.3">
      <c r="A364" s="14" t="s">
        <v>33</v>
      </c>
      <c r="B364" s="5">
        <v>2023</v>
      </c>
      <c r="C364" s="5" t="s">
        <v>34</v>
      </c>
      <c r="D364" s="5">
        <v>2279.1</v>
      </c>
      <c r="E364" s="5">
        <v>182.1</v>
      </c>
      <c r="F364" s="5">
        <v>164.2</v>
      </c>
      <c r="G364" s="5">
        <v>175</v>
      </c>
      <c r="H364" s="15">
        <v>184.4</v>
      </c>
    </row>
    <row r="365" spans="1:8" x14ac:dyDescent="0.3">
      <c r="A365" s="14" t="s">
        <v>30</v>
      </c>
      <c r="B365" s="5">
        <v>2023</v>
      </c>
      <c r="C365" s="5" t="s">
        <v>35</v>
      </c>
      <c r="D365" s="5">
        <v>2265.8000000000002</v>
      </c>
      <c r="E365" s="5">
        <v>181.4</v>
      </c>
      <c r="F365" s="5">
        <v>169</v>
      </c>
      <c r="G365" s="5">
        <v>178.5</v>
      </c>
      <c r="H365" s="15">
        <v>186.6</v>
      </c>
    </row>
    <row r="366" spans="1:8" x14ac:dyDescent="0.3">
      <c r="A366" s="14" t="s">
        <v>32</v>
      </c>
      <c r="B366" s="5">
        <v>2023</v>
      </c>
      <c r="C366" s="5" t="s">
        <v>35</v>
      </c>
      <c r="D366" s="5">
        <v>2303.4</v>
      </c>
      <c r="E366" s="5">
        <v>182.6</v>
      </c>
      <c r="F366" s="5">
        <v>159.80000000000001</v>
      </c>
      <c r="G366" s="5">
        <v>172.5</v>
      </c>
      <c r="H366" s="15">
        <v>180.8</v>
      </c>
    </row>
    <row r="367" spans="1:8" x14ac:dyDescent="0.3">
      <c r="A367" s="14" t="s">
        <v>33</v>
      </c>
      <c r="B367" s="5">
        <v>2023</v>
      </c>
      <c r="C367" s="5" t="s">
        <v>35</v>
      </c>
      <c r="D367" s="5">
        <v>2279.1999999999998</v>
      </c>
      <c r="E367" s="5">
        <v>181.9</v>
      </c>
      <c r="F367" s="5">
        <v>164.2</v>
      </c>
      <c r="G367" s="5">
        <v>175</v>
      </c>
      <c r="H367" s="15">
        <v>184.4</v>
      </c>
    </row>
    <row r="368" spans="1:8" x14ac:dyDescent="0.3">
      <c r="A368" s="14" t="s">
        <v>30</v>
      </c>
      <c r="B368" s="5">
        <v>2023</v>
      </c>
      <c r="C368" s="5" t="s">
        <v>36</v>
      </c>
      <c r="D368" s="5">
        <v>2274.1999999999998</v>
      </c>
      <c r="E368" s="5">
        <v>181.5</v>
      </c>
      <c r="F368" s="5">
        <v>169.4</v>
      </c>
      <c r="G368" s="5">
        <v>179.4</v>
      </c>
      <c r="H368" s="15">
        <v>187.2</v>
      </c>
    </row>
    <row r="369" spans="1:8" x14ac:dyDescent="0.3">
      <c r="A369" s="14" t="s">
        <v>32</v>
      </c>
      <c r="B369" s="5">
        <v>2023</v>
      </c>
      <c r="C369" s="5" t="s">
        <v>36</v>
      </c>
      <c r="D369" s="5">
        <v>2317.7000000000003</v>
      </c>
      <c r="E369" s="5">
        <v>182.1</v>
      </c>
      <c r="F369" s="5">
        <v>160.1</v>
      </c>
      <c r="G369" s="5">
        <v>174.2</v>
      </c>
      <c r="H369" s="15">
        <v>181.5</v>
      </c>
    </row>
    <row r="370" spans="1:8" x14ac:dyDescent="0.3">
      <c r="A370" s="14" t="s">
        <v>33</v>
      </c>
      <c r="B370" s="5">
        <v>2023</v>
      </c>
      <c r="C370" s="5" t="s">
        <v>36</v>
      </c>
      <c r="D370" s="5">
        <v>2289.6000000000004</v>
      </c>
      <c r="E370" s="5">
        <v>181.7</v>
      </c>
      <c r="F370" s="5">
        <v>164.5</v>
      </c>
      <c r="G370" s="5">
        <v>176.4</v>
      </c>
      <c r="H370" s="15">
        <v>185</v>
      </c>
    </row>
    <row r="371" spans="1:8" x14ac:dyDescent="0.3">
      <c r="A371" s="14" t="s">
        <v>30</v>
      </c>
      <c r="B371" s="5">
        <v>2023</v>
      </c>
      <c r="C371" s="5" t="s">
        <v>37</v>
      </c>
      <c r="D371" s="5">
        <v>2290.7000000000007</v>
      </c>
      <c r="E371" s="5">
        <v>182.5</v>
      </c>
      <c r="F371" s="5">
        <v>169.7</v>
      </c>
      <c r="G371" s="5">
        <v>180.3</v>
      </c>
      <c r="H371" s="15">
        <v>187.8</v>
      </c>
    </row>
    <row r="372" spans="1:8" x14ac:dyDescent="0.3">
      <c r="A372" s="14" t="s">
        <v>32</v>
      </c>
      <c r="B372" s="5">
        <v>2023</v>
      </c>
      <c r="C372" s="5" t="s">
        <v>37</v>
      </c>
      <c r="D372" s="5">
        <v>2335.1</v>
      </c>
      <c r="E372" s="5">
        <v>183.4</v>
      </c>
      <c r="F372" s="5">
        <v>160.4</v>
      </c>
      <c r="G372" s="5">
        <v>174.8</v>
      </c>
      <c r="H372" s="15">
        <v>182.2</v>
      </c>
    </row>
    <row r="373" spans="1:8" x14ac:dyDescent="0.3">
      <c r="A373" s="16" t="s">
        <v>33</v>
      </c>
      <c r="B373" s="17">
        <v>2023</v>
      </c>
      <c r="C373" s="17" t="s">
        <v>37</v>
      </c>
      <c r="D373" s="17">
        <v>2306.9</v>
      </c>
      <c r="E373" s="17">
        <v>182.8</v>
      </c>
      <c r="F373" s="17">
        <v>164.8</v>
      </c>
      <c r="G373" s="17">
        <v>177.1</v>
      </c>
      <c r="H373" s="18">
        <v>185.7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9EF1-6244-4451-A049-3E110C7B1649}">
  <dimension ref="A1:F15"/>
  <sheetViews>
    <sheetView showGridLines="0" workbookViewId="0">
      <selection activeCell="F18" sqref="F18"/>
    </sheetView>
  </sheetViews>
  <sheetFormatPr defaultRowHeight="14.4" x14ac:dyDescent="0.3"/>
  <cols>
    <col min="1" max="1" width="12.5546875" bestFit="1" customWidth="1"/>
    <col min="2" max="2" width="22.33203125" bestFit="1" customWidth="1"/>
    <col min="6" max="6" width="11.33203125" customWidth="1"/>
  </cols>
  <sheetData>
    <row r="1" spans="1:6" x14ac:dyDescent="0.3">
      <c r="A1" s="2" t="s">
        <v>0</v>
      </c>
      <c r="B1" t="s">
        <v>33</v>
      </c>
      <c r="D1" s="32" t="s">
        <v>66</v>
      </c>
      <c r="E1" s="32" t="s">
        <v>67</v>
      </c>
    </row>
    <row r="2" spans="1:6" x14ac:dyDescent="0.3">
      <c r="D2" s="19">
        <v>2017</v>
      </c>
      <c r="E2" s="20">
        <v>133.49999999999997</v>
      </c>
    </row>
    <row r="3" spans="1:6" x14ac:dyDescent="0.3">
      <c r="A3" s="2" t="s">
        <v>52</v>
      </c>
      <c r="B3" t="s">
        <v>65</v>
      </c>
      <c r="D3" s="28" t="s">
        <v>1</v>
      </c>
      <c r="E3" s="29" t="s">
        <v>67</v>
      </c>
      <c r="F3" s="30" t="s">
        <v>68</v>
      </c>
    </row>
    <row r="4" spans="1:6" x14ac:dyDescent="0.3">
      <c r="A4" s="3">
        <v>2013</v>
      </c>
      <c r="B4">
        <v>110.03333333333332</v>
      </c>
      <c r="D4" s="27">
        <v>2018</v>
      </c>
      <c r="E4" s="5">
        <v>138.77500000000001</v>
      </c>
      <c r="F4" s="15">
        <f>((E4-E2)/E2)*100</f>
        <v>3.9513108614232477</v>
      </c>
    </row>
    <row r="5" spans="1:6" x14ac:dyDescent="0.3">
      <c r="A5" s="3">
        <v>2014</v>
      </c>
      <c r="B5">
        <v>117.34999999999998</v>
      </c>
      <c r="D5" s="27">
        <v>2019</v>
      </c>
      <c r="E5" s="5">
        <v>144.18181818181822</v>
      </c>
      <c r="F5" s="15">
        <f>((E5-E4)/E4)*100</f>
        <v>3.8961038961039161</v>
      </c>
    </row>
    <row r="6" spans="1:6" x14ac:dyDescent="0.3">
      <c r="A6" s="3">
        <v>2015</v>
      </c>
      <c r="B6">
        <v>123.10833333333331</v>
      </c>
      <c r="D6" s="27">
        <v>2020</v>
      </c>
      <c r="E6" s="5">
        <v>152.61458333333331</v>
      </c>
      <c r="F6" s="15">
        <f>((E6-E5)/E5)*100</f>
        <v>5.8487021857923125</v>
      </c>
    </row>
    <row r="7" spans="1:6" x14ac:dyDescent="0.3">
      <c r="A7" s="3">
        <v>2016</v>
      </c>
      <c r="B7">
        <v>129.19999999999996</v>
      </c>
      <c r="D7" s="27">
        <v>2021</v>
      </c>
      <c r="E7" s="5">
        <v>161.45833333333331</v>
      </c>
      <c r="F7" s="15">
        <f t="shared" ref="F7:F9" si="0">((E7-E6)/E6)*100</f>
        <v>5.7948262917207023</v>
      </c>
    </row>
    <row r="8" spans="1:6" x14ac:dyDescent="0.3">
      <c r="A8" s="3">
        <v>2017</v>
      </c>
      <c r="B8">
        <v>133.49999999999997</v>
      </c>
      <c r="D8" s="27">
        <v>2022</v>
      </c>
      <c r="E8" s="5">
        <v>172.14999999999998</v>
      </c>
      <c r="F8" s="15">
        <f t="shared" si="0"/>
        <v>6.621935483870967</v>
      </c>
    </row>
    <row r="9" spans="1:6" x14ac:dyDescent="0.3">
      <c r="A9" s="3">
        <v>2018</v>
      </c>
      <c r="B9">
        <v>138.77500000000001</v>
      </c>
      <c r="D9" s="31">
        <v>2023</v>
      </c>
      <c r="E9" s="17">
        <v>177.61999999999998</v>
      </c>
      <c r="F9" s="18">
        <f t="shared" si="0"/>
        <v>3.1774615161196631</v>
      </c>
    </row>
    <row r="10" spans="1:6" x14ac:dyDescent="0.3">
      <c r="A10" s="3">
        <v>2019</v>
      </c>
      <c r="B10">
        <v>144.18181818181822</v>
      </c>
    </row>
    <row r="11" spans="1:6" x14ac:dyDescent="0.3">
      <c r="A11" s="3">
        <v>2020</v>
      </c>
      <c r="B11">
        <v>152.61458333333331</v>
      </c>
    </row>
    <row r="12" spans="1:6" x14ac:dyDescent="0.3">
      <c r="A12" s="3">
        <v>2021</v>
      </c>
      <c r="B12">
        <v>161.45833333333331</v>
      </c>
    </row>
    <row r="13" spans="1:6" x14ac:dyDescent="0.3">
      <c r="A13" s="3">
        <v>2022</v>
      </c>
      <c r="B13">
        <v>172.14999999999998</v>
      </c>
    </row>
    <row r="14" spans="1:6" x14ac:dyDescent="0.3">
      <c r="A14" s="3">
        <v>2023</v>
      </c>
      <c r="B14">
        <v>177.61999999999998</v>
      </c>
    </row>
    <row r="15" spans="1:6" x14ac:dyDescent="0.3">
      <c r="A15" s="3" t="s">
        <v>53</v>
      </c>
      <c r="B15">
        <v>139.77721774193549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BAA2-0A3E-4FE4-B621-62499C3773D5}">
  <dimension ref="A1:T49"/>
  <sheetViews>
    <sheetView showGridLines="0" topLeftCell="A52" workbookViewId="0">
      <selection activeCell="J73" sqref="J73"/>
    </sheetView>
  </sheetViews>
  <sheetFormatPr defaultRowHeight="14.4" x14ac:dyDescent="0.3"/>
  <cols>
    <col min="1" max="1" width="31.33203125" bestFit="1" customWidth="1"/>
    <col min="3" max="3" width="14.21875" customWidth="1"/>
    <col min="4" max="4" width="21" bestFit="1" customWidth="1"/>
    <col min="5" max="5" width="14.44140625" customWidth="1"/>
    <col min="7" max="7" width="18.109375" customWidth="1"/>
    <col min="8" max="8" width="13.109375" customWidth="1"/>
    <col min="10" max="10" width="12.109375" customWidth="1"/>
    <col min="11" max="11" width="19.6640625" customWidth="1"/>
    <col min="12" max="12" width="23.6640625" customWidth="1"/>
    <col min="14" max="14" width="23.5546875" customWidth="1"/>
    <col min="15" max="15" width="32.6640625" customWidth="1"/>
    <col min="16" max="16" width="19.77734375" customWidth="1"/>
    <col min="17" max="17" width="14.21875" customWidth="1"/>
    <col min="18" max="18" width="30.44140625" bestFit="1" customWidth="1"/>
  </cols>
  <sheetData>
    <row r="1" spans="1:2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70</v>
      </c>
    </row>
    <row r="2" spans="1:20" x14ac:dyDescent="0.3">
      <c r="A2" t="s">
        <v>33</v>
      </c>
      <c r="B2">
        <v>2022</v>
      </c>
      <c r="C2" t="s">
        <v>37</v>
      </c>
      <c r="D2">
        <v>154.1</v>
      </c>
      <c r="E2">
        <v>217</v>
      </c>
      <c r="F2">
        <v>162.4</v>
      </c>
      <c r="G2">
        <v>164.9</v>
      </c>
      <c r="H2">
        <v>202.4</v>
      </c>
      <c r="I2">
        <v>171</v>
      </c>
      <c r="J2">
        <v>174.9</v>
      </c>
      <c r="K2">
        <v>164.7</v>
      </c>
      <c r="L2">
        <v>119.7</v>
      </c>
      <c r="M2">
        <v>184.9</v>
      </c>
      <c r="N2">
        <v>167.1</v>
      </c>
      <c r="O2">
        <v>182.5</v>
      </c>
      <c r="P2">
        <v>173.3</v>
      </c>
      <c r="Q2">
        <f t="shared" ref="Q2:Q14" si="0">SUM(D2:P2)</f>
        <v>2238.9000000000005</v>
      </c>
      <c r="R2" s="7"/>
      <c r="S2" s="8"/>
      <c r="T2" s="8"/>
    </row>
    <row r="3" spans="1:20" x14ac:dyDescent="0.3">
      <c r="A3" t="s">
        <v>33</v>
      </c>
      <c r="B3">
        <v>2022</v>
      </c>
      <c r="C3" t="s">
        <v>38</v>
      </c>
      <c r="D3">
        <v>155</v>
      </c>
      <c r="E3">
        <v>219.4</v>
      </c>
      <c r="F3">
        <v>170.8</v>
      </c>
      <c r="G3">
        <v>165.8</v>
      </c>
      <c r="H3">
        <v>200.9</v>
      </c>
      <c r="I3">
        <v>169.7</v>
      </c>
      <c r="J3">
        <v>182.3</v>
      </c>
      <c r="K3">
        <v>164.3</v>
      </c>
      <c r="L3">
        <v>119.9</v>
      </c>
      <c r="M3">
        <v>187.1</v>
      </c>
      <c r="N3">
        <v>167.9</v>
      </c>
      <c r="O3">
        <v>183.9</v>
      </c>
      <c r="P3">
        <v>174.9</v>
      </c>
      <c r="Q3">
        <f t="shared" si="0"/>
        <v>2261.9</v>
      </c>
    </row>
    <row r="4" spans="1:20" x14ac:dyDescent="0.3">
      <c r="A4" t="s">
        <v>33</v>
      </c>
      <c r="B4">
        <v>2022</v>
      </c>
      <c r="C4" t="s">
        <v>39</v>
      </c>
      <c r="D4">
        <v>156.5</v>
      </c>
      <c r="E4">
        <v>213</v>
      </c>
      <c r="F4">
        <v>175.2</v>
      </c>
      <c r="G4">
        <v>166.6</v>
      </c>
      <c r="H4">
        <v>195.8</v>
      </c>
      <c r="I4">
        <v>174.2</v>
      </c>
      <c r="J4">
        <v>182.1</v>
      </c>
      <c r="K4">
        <v>164.3</v>
      </c>
      <c r="L4">
        <v>120</v>
      </c>
      <c r="M4">
        <v>190</v>
      </c>
      <c r="N4">
        <v>168.4</v>
      </c>
      <c r="O4">
        <v>185.2</v>
      </c>
      <c r="P4">
        <v>175</v>
      </c>
      <c r="Q4">
        <f t="shared" si="0"/>
        <v>2266.3000000000002</v>
      </c>
    </row>
    <row r="5" spans="1:20" x14ac:dyDescent="0.3">
      <c r="A5" t="s">
        <v>33</v>
      </c>
      <c r="B5">
        <v>2022</v>
      </c>
      <c r="C5" t="s">
        <v>40</v>
      </c>
      <c r="D5">
        <v>160.30000000000001</v>
      </c>
      <c r="E5">
        <v>206.5</v>
      </c>
      <c r="F5">
        <v>169.2</v>
      </c>
      <c r="G5">
        <v>168.1</v>
      </c>
      <c r="H5">
        <v>192.4</v>
      </c>
      <c r="I5">
        <v>172.9</v>
      </c>
      <c r="J5">
        <v>186.7</v>
      </c>
      <c r="K5">
        <v>167.2</v>
      </c>
      <c r="L5">
        <v>120.9</v>
      </c>
      <c r="M5">
        <v>193.6</v>
      </c>
      <c r="N5">
        <v>168.8</v>
      </c>
      <c r="O5">
        <v>186.3</v>
      </c>
      <c r="P5">
        <v>176.3</v>
      </c>
      <c r="Q5">
        <f t="shared" si="0"/>
        <v>2269.2000000000003</v>
      </c>
    </row>
    <row r="6" spans="1:20" x14ac:dyDescent="0.3">
      <c r="A6" t="s">
        <v>33</v>
      </c>
      <c r="B6">
        <v>2022</v>
      </c>
      <c r="C6" t="s">
        <v>41</v>
      </c>
      <c r="D6">
        <v>163.5</v>
      </c>
      <c r="E6">
        <v>209.2</v>
      </c>
      <c r="F6">
        <v>169.7</v>
      </c>
      <c r="G6">
        <v>169.7</v>
      </c>
      <c r="H6">
        <v>188.7</v>
      </c>
      <c r="I6">
        <v>165.7</v>
      </c>
      <c r="J6">
        <v>191.8</v>
      </c>
      <c r="K6">
        <v>169.1</v>
      </c>
      <c r="L6">
        <v>121.6</v>
      </c>
      <c r="M6">
        <v>197.3</v>
      </c>
      <c r="N6">
        <v>169.4</v>
      </c>
      <c r="O6">
        <v>187.4</v>
      </c>
      <c r="P6">
        <v>177.8</v>
      </c>
      <c r="Q6">
        <f t="shared" si="0"/>
        <v>2280.9</v>
      </c>
    </row>
    <row r="7" spans="1:20" x14ac:dyDescent="0.3">
      <c r="A7" t="s">
        <v>33</v>
      </c>
      <c r="B7">
        <v>2022</v>
      </c>
      <c r="C7" t="s">
        <v>42</v>
      </c>
      <c r="D7">
        <v>165.2</v>
      </c>
      <c r="E7">
        <v>210.9</v>
      </c>
      <c r="F7">
        <v>170.9</v>
      </c>
      <c r="G7">
        <v>170.9</v>
      </c>
      <c r="H7">
        <v>186.5</v>
      </c>
      <c r="I7">
        <v>163.80000000000001</v>
      </c>
      <c r="J7">
        <v>199.7</v>
      </c>
      <c r="K7">
        <v>169.8</v>
      </c>
      <c r="L7">
        <v>121.9</v>
      </c>
      <c r="M7">
        <v>199.9</v>
      </c>
      <c r="N7">
        <v>169.9</v>
      </c>
      <c r="O7">
        <v>188.3</v>
      </c>
      <c r="P7">
        <v>179.6</v>
      </c>
      <c r="Q7">
        <f t="shared" si="0"/>
        <v>2297.3000000000002</v>
      </c>
    </row>
    <row r="8" spans="1:20" x14ac:dyDescent="0.3">
      <c r="A8" t="s">
        <v>33</v>
      </c>
      <c r="B8">
        <v>2022</v>
      </c>
      <c r="C8" t="s">
        <v>44</v>
      </c>
      <c r="D8">
        <v>167.4</v>
      </c>
      <c r="E8">
        <v>209.4</v>
      </c>
      <c r="F8">
        <v>181.4</v>
      </c>
      <c r="G8">
        <v>172.3</v>
      </c>
      <c r="H8">
        <v>188.9</v>
      </c>
      <c r="I8">
        <v>160.69999999999999</v>
      </c>
      <c r="J8">
        <v>183.1</v>
      </c>
      <c r="K8">
        <v>170.5</v>
      </c>
      <c r="L8">
        <v>122.1</v>
      </c>
      <c r="M8">
        <v>202.8</v>
      </c>
      <c r="N8">
        <v>170.4</v>
      </c>
      <c r="O8">
        <v>189.5</v>
      </c>
      <c r="P8">
        <v>178.3</v>
      </c>
      <c r="Q8">
        <f t="shared" si="0"/>
        <v>2296.8000000000002</v>
      </c>
    </row>
    <row r="9" spans="1:20" x14ac:dyDescent="0.3">
      <c r="A9" t="s">
        <v>33</v>
      </c>
      <c r="B9">
        <v>2022</v>
      </c>
      <c r="C9" t="s">
        <v>45</v>
      </c>
      <c r="D9">
        <v>169.2</v>
      </c>
      <c r="E9">
        <v>209</v>
      </c>
      <c r="F9">
        <v>190.2</v>
      </c>
      <c r="G9">
        <v>173.6</v>
      </c>
      <c r="H9">
        <v>188.5</v>
      </c>
      <c r="I9">
        <v>158</v>
      </c>
      <c r="J9">
        <v>159.9</v>
      </c>
      <c r="K9">
        <v>170.8</v>
      </c>
      <c r="L9">
        <v>121.8</v>
      </c>
      <c r="M9">
        <v>205.2</v>
      </c>
      <c r="N9">
        <v>171</v>
      </c>
      <c r="O9">
        <v>190.3</v>
      </c>
      <c r="P9">
        <v>175.9</v>
      </c>
      <c r="Q9">
        <f t="shared" si="0"/>
        <v>2283.4</v>
      </c>
    </row>
    <row r="10" spans="1:20" x14ac:dyDescent="0.3">
      <c r="A10" t="s">
        <v>33</v>
      </c>
      <c r="B10">
        <v>2023</v>
      </c>
      <c r="C10" t="s">
        <v>31</v>
      </c>
      <c r="D10">
        <v>173.8</v>
      </c>
      <c r="E10">
        <v>210.7</v>
      </c>
      <c r="F10">
        <v>194.5</v>
      </c>
      <c r="G10">
        <v>174.6</v>
      </c>
      <c r="H10">
        <v>187.2</v>
      </c>
      <c r="I10">
        <v>158.30000000000001</v>
      </c>
      <c r="J10">
        <v>153.9</v>
      </c>
      <c r="K10">
        <v>170.9</v>
      </c>
      <c r="L10">
        <v>121.1</v>
      </c>
      <c r="M10">
        <v>208.4</v>
      </c>
      <c r="N10">
        <v>171.4</v>
      </c>
      <c r="O10">
        <v>191.2</v>
      </c>
      <c r="P10">
        <v>176.7</v>
      </c>
      <c r="Q10">
        <f t="shared" si="0"/>
        <v>2292.6999999999998</v>
      </c>
    </row>
    <row r="11" spans="1:20" x14ac:dyDescent="0.3">
      <c r="A11" t="s">
        <v>33</v>
      </c>
      <c r="B11">
        <v>2023</v>
      </c>
      <c r="C11" t="s">
        <v>34</v>
      </c>
      <c r="D11">
        <v>174.4</v>
      </c>
      <c r="E11">
        <v>207.7</v>
      </c>
      <c r="F11">
        <v>175.2</v>
      </c>
      <c r="G11">
        <v>177.3</v>
      </c>
      <c r="H11">
        <v>179.3</v>
      </c>
      <c r="I11">
        <v>169.5</v>
      </c>
      <c r="J11">
        <v>152.69999999999999</v>
      </c>
      <c r="K11">
        <v>171</v>
      </c>
      <c r="L11">
        <v>120</v>
      </c>
      <c r="M11">
        <v>209.7</v>
      </c>
      <c r="N11">
        <v>172.3</v>
      </c>
      <c r="O11">
        <v>193</v>
      </c>
      <c r="P11">
        <v>177</v>
      </c>
      <c r="Q11">
        <f t="shared" si="0"/>
        <v>2279.1</v>
      </c>
    </row>
    <row r="12" spans="1:20" x14ac:dyDescent="0.3">
      <c r="A12" t="s">
        <v>33</v>
      </c>
      <c r="B12">
        <v>2023</v>
      </c>
      <c r="C12" t="s">
        <v>35</v>
      </c>
      <c r="D12">
        <v>174.4</v>
      </c>
      <c r="E12">
        <v>207.7</v>
      </c>
      <c r="F12">
        <v>175.2</v>
      </c>
      <c r="G12">
        <v>177.3</v>
      </c>
      <c r="H12">
        <v>179.2</v>
      </c>
      <c r="I12">
        <v>169.5</v>
      </c>
      <c r="J12">
        <v>152.80000000000001</v>
      </c>
      <c r="K12">
        <v>171.1</v>
      </c>
      <c r="L12">
        <v>120</v>
      </c>
      <c r="M12">
        <v>209.7</v>
      </c>
      <c r="N12">
        <v>172.3</v>
      </c>
      <c r="O12">
        <v>193</v>
      </c>
      <c r="P12">
        <v>177</v>
      </c>
      <c r="Q12">
        <f t="shared" si="0"/>
        <v>2279.1999999999998</v>
      </c>
    </row>
    <row r="13" spans="1:20" x14ac:dyDescent="0.3">
      <c r="A13" t="s">
        <v>33</v>
      </c>
      <c r="B13">
        <v>2023</v>
      </c>
      <c r="C13" t="s">
        <v>36</v>
      </c>
      <c r="D13">
        <v>173.8</v>
      </c>
      <c r="E13">
        <v>209.3</v>
      </c>
      <c r="F13">
        <v>169.6</v>
      </c>
      <c r="G13">
        <v>178.4</v>
      </c>
      <c r="H13">
        <v>174.9</v>
      </c>
      <c r="I13">
        <v>176.3</v>
      </c>
      <c r="J13">
        <v>155.4</v>
      </c>
      <c r="K13">
        <v>173.4</v>
      </c>
      <c r="L13">
        <v>121.3</v>
      </c>
      <c r="M13">
        <v>212.9</v>
      </c>
      <c r="N13">
        <v>172.9</v>
      </c>
      <c r="O13">
        <v>193.5</v>
      </c>
      <c r="P13">
        <v>177.9</v>
      </c>
      <c r="Q13">
        <f t="shared" si="0"/>
        <v>2289.6000000000004</v>
      </c>
    </row>
    <row r="14" spans="1:20" x14ac:dyDescent="0.3">
      <c r="A14" t="s">
        <v>33</v>
      </c>
      <c r="B14">
        <v>2023</v>
      </c>
      <c r="C14" t="s">
        <v>37</v>
      </c>
      <c r="D14">
        <v>173.7</v>
      </c>
      <c r="E14">
        <v>214.3</v>
      </c>
      <c r="F14">
        <v>173.2</v>
      </c>
      <c r="G14">
        <v>179.5</v>
      </c>
      <c r="H14">
        <v>170</v>
      </c>
      <c r="I14">
        <v>172.2</v>
      </c>
      <c r="J14">
        <v>161</v>
      </c>
      <c r="K14">
        <v>175.6</v>
      </c>
      <c r="L14">
        <v>122.7</v>
      </c>
      <c r="M14">
        <v>218</v>
      </c>
      <c r="N14">
        <v>173.4</v>
      </c>
      <c r="O14">
        <v>194.2</v>
      </c>
      <c r="P14">
        <v>179.1</v>
      </c>
      <c r="Q14">
        <f t="shared" si="0"/>
        <v>2306.9</v>
      </c>
    </row>
    <row r="17" spans="1:5" x14ac:dyDescent="0.3">
      <c r="A17" s="36" t="s">
        <v>0</v>
      </c>
      <c r="B17" s="36" t="s">
        <v>33</v>
      </c>
      <c r="C17" s="36" t="s">
        <v>33</v>
      </c>
      <c r="D17" s="36"/>
      <c r="E17" s="7"/>
    </row>
    <row r="18" spans="1:5" x14ac:dyDescent="0.3">
      <c r="A18" s="36" t="s">
        <v>1</v>
      </c>
      <c r="B18" s="36">
        <v>2022</v>
      </c>
      <c r="C18" s="36">
        <v>2023</v>
      </c>
      <c r="D18" s="36"/>
      <c r="E18" s="7"/>
    </row>
    <row r="19" spans="1:5" x14ac:dyDescent="0.3">
      <c r="A19" s="36" t="s">
        <v>2</v>
      </c>
      <c r="B19" s="36" t="s">
        <v>37</v>
      </c>
      <c r="C19" s="36" t="s">
        <v>37</v>
      </c>
      <c r="D19" s="36" t="s">
        <v>69</v>
      </c>
      <c r="E19" s="7"/>
    </row>
    <row r="20" spans="1:5" x14ac:dyDescent="0.3">
      <c r="A20" s="25" t="s">
        <v>3</v>
      </c>
      <c r="B20" s="26">
        <v>154.1</v>
      </c>
      <c r="C20" s="26">
        <v>173.7</v>
      </c>
      <c r="D20" s="26">
        <f>ABS(C20-B20)</f>
        <v>19.599999999999994</v>
      </c>
    </row>
    <row r="21" spans="1:5" x14ac:dyDescent="0.3">
      <c r="A21" s="25" t="s">
        <v>4</v>
      </c>
      <c r="B21" s="26">
        <v>217</v>
      </c>
      <c r="C21" s="26">
        <v>214.3</v>
      </c>
      <c r="D21" s="26">
        <f t="shared" ref="D21:D32" si="1">ABS(C21-B21)</f>
        <v>2.6999999999999886</v>
      </c>
    </row>
    <row r="22" spans="1:5" x14ac:dyDescent="0.3">
      <c r="A22" s="25" t="s">
        <v>5</v>
      </c>
      <c r="B22" s="26">
        <v>162.4</v>
      </c>
      <c r="C22" s="26">
        <v>173.2</v>
      </c>
      <c r="D22" s="26">
        <f t="shared" si="1"/>
        <v>10.799999999999983</v>
      </c>
    </row>
    <row r="23" spans="1:5" x14ac:dyDescent="0.3">
      <c r="A23" s="25" t="s">
        <v>6</v>
      </c>
      <c r="B23" s="26">
        <v>164.9</v>
      </c>
      <c r="C23" s="26">
        <v>179.5</v>
      </c>
      <c r="D23" s="26">
        <f t="shared" si="1"/>
        <v>14.599999999999994</v>
      </c>
    </row>
    <row r="24" spans="1:5" x14ac:dyDescent="0.3">
      <c r="A24" s="25" t="s">
        <v>7</v>
      </c>
      <c r="B24" s="26">
        <v>202.4</v>
      </c>
      <c r="C24" s="26">
        <v>170</v>
      </c>
      <c r="D24" s="26">
        <f t="shared" si="1"/>
        <v>32.400000000000006</v>
      </c>
    </row>
    <row r="25" spans="1:5" x14ac:dyDescent="0.3">
      <c r="A25" s="25" t="s">
        <v>8</v>
      </c>
      <c r="B25" s="26">
        <v>171</v>
      </c>
      <c r="C25" s="26">
        <v>172.2</v>
      </c>
      <c r="D25" s="26">
        <f t="shared" si="1"/>
        <v>1.1999999999999886</v>
      </c>
    </row>
    <row r="26" spans="1:5" x14ac:dyDescent="0.3">
      <c r="A26" s="25" t="s">
        <v>9</v>
      </c>
      <c r="B26" s="26">
        <v>174.9</v>
      </c>
      <c r="C26" s="26">
        <v>161</v>
      </c>
      <c r="D26" s="26">
        <f t="shared" si="1"/>
        <v>13.900000000000006</v>
      </c>
    </row>
    <row r="27" spans="1:5" x14ac:dyDescent="0.3">
      <c r="A27" s="25" t="s">
        <v>10</v>
      </c>
      <c r="B27" s="26">
        <v>164.7</v>
      </c>
      <c r="C27" s="26">
        <v>175.6</v>
      </c>
      <c r="D27" s="26">
        <f t="shared" si="1"/>
        <v>10.900000000000006</v>
      </c>
    </row>
    <row r="28" spans="1:5" x14ac:dyDescent="0.3">
      <c r="A28" s="25" t="s">
        <v>11</v>
      </c>
      <c r="B28" s="26">
        <v>119.7</v>
      </c>
      <c r="C28" s="26">
        <v>122.7</v>
      </c>
      <c r="D28" s="26">
        <f t="shared" si="1"/>
        <v>3</v>
      </c>
    </row>
    <row r="29" spans="1:5" x14ac:dyDescent="0.3">
      <c r="A29" s="25" t="s">
        <v>12</v>
      </c>
      <c r="B29" s="26">
        <v>184.9</v>
      </c>
      <c r="C29" s="26">
        <v>218</v>
      </c>
      <c r="D29" s="26">
        <f t="shared" si="1"/>
        <v>33.099999999999994</v>
      </c>
    </row>
    <row r="30" spans="1:5" x14ac:dyDescent="0.3">
      <c r="A30" s="25" t="s">
        <v>13</v>
      </c>
      <c r="B30" s="26">
        <v>167.1</v>
      </c>
      <c r="C30" s="26">
        <v>173.4</v>
      </c>
      <c r="D30" s="26">
        <f t="shared" si="1"/>
        <v>6.3000000000000114</v>
      </c>
    </row>
    <row r="31" spans="1:5" x14ac:dyDescent="0.3">
      <c r="A31" s="25" t="s">
        <v>14</v>
      </c>
      <c r="B31" s="26">
        <v>182.5</v>
      </c>
      <c r="C31" s="26">
        <v>194.2</v>
      </c>
      <c r="D31" s="26">
        <f t="shared" si="1"/>
        <v>11.699999999999989</v>
      </c>
    </row>
    <row r="32" spans="1:5" x14ac:dyDescent="0.3">
      <c r="A32" s="34" t="s">
        <v>15</v>
      </c>
      <c r="B32" s="35">
        <v>173.3</v>
      </c>
      <c r="C32" s="35">
        <v>179.1</v>
      </c>
      <c r="D32" s="35">
        <f t="shared" si="1"/>
        <v>5.7999999999999829</v>
      </c>
    </row>
    <row r="36" spans="1:4" x14ac:dyDescent="0.3">
      <c r="A36" s="7" t="s">
        <v>1</v>
      </c>
      <c r="B36" s="7" t="s">
        <v>2</v>
      </c>
      <c r="C36" s="7" t="s">
        <v>70</v>
      </c>
      <c r="D36" s="7" t="s">
        <v>90</v>
      </c>
    </row>
    <row r="37" spans="1:4" x14ac:dyDescent="0.3">
      <c r="A37">
        <v>2022</v>
      </c>
      <c r="B37" t="s">
        <v>37</v>
      </c>
      <c r="C37">
        <v>2238.9000000000005</v>
      </c>
    </row>
    <row r="38" spans="1:4" x14ac:dyDescent="0.3">
      <c r="A38">
        <v>2022</v>
      </c>
      <c r="B38" t="s">
        <v>38</v>
      </c>
      <c r="C38">
        <v>2261.9</v>
      </c>
      <c r="D38">
        <f>((C38-C37)/C37)*100</f>
        <v>1.0272901871454525</v>
      </c>
    </row>
    <row r="39" spans="1:4" x14ac:dyDescent="0.3">
      <c r="A39">
        <v>2022</v>
      </c>
      <c r="B39" t="s">
        <v>39</v>
      </c>
      <c r="C39">
        <v>2266.3000000000002</v>
      </c>
      <c r="D39">
        <f>((C39-C38)/C38)*100</f>
        <v>0.19452672531942572</v>
      </c>
    </row>
    <row r="40" spans="1:4" x14ac:dyDescent="0.3">
      <c r="A40">
        <v>2022</v>
      </c>
      <c r="B40" t="s">
        <v>40</v>
      </c>
      <c r="C40">
        <v>2269.2000000000003</v>
      </c>
      <c r="D40">
        <f t="shared" ref="D40:D49" si="2">((C40-C39)/C39)*100</f>
        <v>0.12796187618585758</v>
      </c>
    </row>
    <row r="41" spans="1:4" x14ac:dyDescent="0.3">
      <c r="A41">
        <v>2022</v>
      </c>
      <c r="B41" t="s">
        <v>41</v>
      </c>
      <c r="C41">
        <v>2280.9</v>
      </c>
      <c r="D41">
        <f t="shared" si="2"/>
        <v>0.51560021152828384</v>
      </c>
    </row>
    <row r="42" spans="1:4" x14ac:dyDescent="0.3">
      <c r="A42">
        <v>2022</v>
      </c>
      <c r="B42" t="s">
        <v>42</v>
      </c>
      <c r="C42">
        <v>2297.3000000000002</v>
      </c>
      <c r="D42">
        <f t="shared" si="2"/>
        <v>0.7190144241308295</v>
      </c>
    </row>
    <row r="43" spans="1:4" x14ac:dyDescent="0.3">
      <c r="A43">
        <v>2022</v>
      </c>
      <c r="B43" t="s">
        <v>44</v>
      </c>
      <c r="C43">
        <v>2296.8000000000002</v>
      </c>
      <c r="D43">
        <f t="shared" si="2"/>
        <v>-2.1764680276846731E-2</v>
      </c>
    </row>
    <row r="44" spans="1:4" x14ac:dyDescent="0.3">
      <c r="A44">
        <v>2022</v>
      </c>
      <c r="B44" t="s">
        <v>45</v>
      </c>
      <c r="C44">
        <v>2283.4</v>
      </c>
      <c r="D44">
        <f t="shared" si="2"/>
        <v>-0.58342041100662179</v>
      </c>
    </row>
    <row r="45" spans="1:4" x14ac:dyDescent="0.3">
      <c r="A45">
        <v>2023</v>
      </c>
      <c r="B45" t="s">
        <v>31</v>
      </c>
      <c r="C45">
        <v>2292.6999999999998</v>
      </c>
      <c r="D45">
        <f t="shared" si="2"/>
        <v>0.40728737847068963</v>
      </c>
    </row>
    <row r="46" spans="1:4" x14ac:dyDescent="0.3">
      <c r="A46">
        <v>2023</v>
      </c>
      <c r="B46" t="s">
        <v>34</v>
      </c>
      <c r="C46">
        <v>2279.1</v>
      </c>
      <c r="D46">
        <f t="shared" si="2"/>
        <v>-0.59318707201116194</v>
      </c>
    </row>
    <row r="47" spans="1:4" x14ac:dyDescent="0.3">
      <c r="A47">
        <v>2023</v>
      </c>
      <c r="B47" t="s">
        <v>35</v>
      </c>
      <c r="C47">
        <v>2279.1999999999998</v>
      </c>
      <c r="D47">
        <f t="shared" si="2"/>
        <v>4.3876968978943031E-3</v>
      </c>
    </row>
    <row r="48" spans="1:4" x14ac:dyDescent="0.3">
      <c r="A48">
        <v>2023</v>
      </c>
      <c r="B48" t="s">
        <v>36</v>
      </c>
      <c r="C48">
        <v>2289.6000000000004</v>
      </c>
      <c r="D48">
        <f t="shared" si="2"/>
        <v>0.45630045630048033</v>
      </c>
    </row>
    <row r="49" spans="1:4" x14ac:dyDescent="0.3">
      <c r="A49">
        <v>2023</v>
      </c>
      <c r="B49" t="s">
        <v>37</v>
      </c>
      <c r="C49">
        <v>2306.9</v>
      </c>
      <c r="D49">
        <f t="shared" si="2"/>
        <v>0.75559049615652185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3B26-614C-43EE-921B-8F75F143934B}">
  <dimension ref="A1:S373"/>
  <sheetViews>
    <sheetView showGridLines="0" topLeftCell="L35" workbookViewId="0">
      <selection activeCell="W40" sqref="W40"/>
    </sheetView>
  </sheetViews>
  <sheetFormatPr defaultRowHeight="14.4" x14ac:dyDescent="0.3"/>
  <cols>
    <col min="1" max="1" width="19.109375" bestFit="1" customWidth="1"/>
    <col min="5" max="5" width="10.109375" customWidth="1"/>
    <col min="7" max="7" width="10.21875" customWidth="1"/>
    <col min="8" max="8" width="9.6640625" customWidth="1"/>
    <col min="9" max="9" width="10.33203125" bestFit="1" customWidth="1"/>
    <col min="10" max="10" width="17.44140625" customWidth="1"/>
    <col min="11" max="12" width="15.21875" customWidth="1"/>
    <col min="13" max="13" width="12.5546875" bestFit="1" customWidth="1"/>
    <col min="14" max="14" width="15.77734375" bestFit="1" customWidth="1"/>
    <col min="15" max="15" width="16.109375" bestFit="1" customWidth="1"/>
    <col min="16" max="17" width="18" bestFit="1" customWidth="1"/>
    <col min="18" max="18" width="18.109375" bestFit="1" customWidth="1"/>
    <col min="19" max="19" width="14.33203125" bestFit="1" customWidth="1"/>
  </cols>
  <sheetData>
    <row r="1" spans="1:19" x14ac:dyDescent="0.3">
      <c r="A1" s="7" t="s">
        <v>1</v>
      </c>
      <c r="B1" s="7" t="s">
        <v>2</v>
      </c>
      <c r="C1" s="7" t="s">
        <v>71</v>
      </c>
      <c r="D1" s="7" t="s">
        <v>23</v>
      </c>
      <c r="E1" s="7" t="s">
        <v>72</v>
      </c>
      <c r="F1" s="7" t="s">
        <v>51</v>
      </c>
      <c r="G1" s="7" t="s">
        <v>73</v>
      </c>
      <c r="H1" s="7" t="s">
        <v>94</v>
      </c>
      <c r="I1" s="7" t="s">
        <v>75</v>
      </c>
      <c r="J1" s="7" t="s">
        <v>74</v>
      </c>
      <c r="K1" s="7" t="s">
        <v>88</v>
      </c>
      <c r="L1" s="7" t="s">
        <v>87</v>
      </c>
    </row>
    <row r="2" spans="1:19" x14ac:dyDescent="0.3">
      <c r="A2">
        <v>2013</v>
      </c>
      <c r="B2" t="s">
        <v>31</v>
      </c>
      <c r="C2">
        <v>1371.6999999999998</v>
      </c>
      <c r="D2">
        <v>104</v>
      </c>
      <c r="E2">
        <v>309.60000000000002</v>
      </c>
      <c r="F2">
        <v>208.5</v>
      </c>
      <c r="G2">
        <v>735.50000000000011</v>
      </c>
      <c r="H2">
        <f>MATCH(B2,{"January","February","March","April","May","June","July","August","September","October","November","December"},0)</f>
        <v>1</v>
      </c>
      <c r="I2" s="9">
        <f>DATE(A2,H2,1)</f>
        <v>41275</v>
      </c>
      <c r="J2" t="str">
        <f>IF(I2&lt;DATE(2020,3,1),"Pre Covid","Post Covid")</f>
        <v>Pre Covid</v>
      </c>
      <c r="K2">
        <v>105.1</v>
      </c>
      <c r="L2" t="e">
        <f>IF(I2=DATE(2020,3,1),MAX(K2:K373),NA())</f>
        <v>#N/A</v>
      </c>
      <c r="N2" s="2" t="s">
        <v>52</v>
      </c>
      <c r="O2" t="s">
        <v>78</v>
      </c>
      <c r="P2" t="s">
        <v>58</v>
      </c>
      <c r="Q2" t="s">
        <v>79</v>
      </c>
      <c r="R2" t="s">
        <v>80</v>
      </c>
      <c r="S2" t="s">
        <v>81</v>
      </c>
    </row>
    <row r="3" spans="1:19" x14ac:dyDescent="0.3">
      <c r="A3">
        <v>2013</v>
      </c>
      <c r="B3" t="s">
        <v>31</v>
      </c>
      <c r="C3">
        <v>1376.4</v>
      </c>
      <c r="D3">
        <v>104.1</v>
      </c>
      <c r="E3">
        <v>309.2</v>
      </c>
      <c r="F3">
        <v>208.10000000000002</v>
      </c>
      <c r="G3">
        <v>732.7</v>
      </c>
      <c r="H3">
        <f>MATCH(B3,{"January","February","March","April","May","June","July","August","September","October","November","December"},0)</f>
        <v>1</v>
      </c>
      <c r="I3" s="9">
        <f t="shared" ref="I3:I66" si="0">DATE(A3,H3,1)</f>
        <v>41275</v>
      </c>
      <c r="J3" t="str">
        <f t="shared" ref="J3:J66" si="1">IF(I3&lt;DATE(2020,3,1),"Pre Covid","Post Covid")</f>
        <v>Pre Covid</v>
      </c>
      <c r="K3">
        <v>104</v>
      </c>
      <c r="L3" t="e">
        <f t="shared" ref="L3:L66" si="2">IF(I3=DATE(2020,3,1),MAX(K3:K374),NA())</f>
        <v>#N/A</v>
      </c>
      <c r="N3" s="3" t="s">
        <v>76</v>
      </c>
      <c r="O3">
        <v>2151.1561965811966</v>
      </c>
      <c r="P3">
        <v>167.7735042735043</v>
      </c>
      <c r="Q3">
        <v>487.84551282051297</v>
      </c>
      <c r="R3">
        <v>349.76282051282055</v>
      </c>
      <c r="S3">
        <v>1125.1555555555553</v>
      </c>
    </row>
    <row r="4" spans="1:19" x14ac:dyDescent="0.3">
      <c r="A4">
        <v>2013</v>
      </c>
      <c r="B4" t="s">
        <v>31</v>
      </c>
      <c r="C4">
        <v>1373.3000000000002</v>
      </c>
      <c r="D4">
        <v>104</v>
      </c>
      <c r="E4">
        <v>309.39999999999998</v>
      </c>
      <c r="F4">
        <v>208.2</v>
      </c>
      <c r="G4">
        <v>734.4</v>
      </c>
      <c r="H4">
        <f>MATCH(B4,{"January","February","March","April","May","June","July","August","September","October","November","December"},0)</f>
        <v>1</v>
      </c>
      <c r="I4" s="9">
        <f t="shared" si="0"/>
        <v>41275</v>
      </c>
      <c r="J4" t="str">
        <f t="shared" si="1"/>
        <v>Pre Covid</v>
      </c>
      <c r="K4">
        <v>104.6</v>
      </c>
      <c r="L4" t="e">
        <f t="shared" si="2"/>
        <v>#N/A</v>
      </c>
      <c r="N4" s="3" t="s">
        <v>77</v>
      </c>
      <c r="O4">
        <v>1677.2866666666666</v>
      </c>
      <c r="P4">
        <v>125.23568627450986</v>
      </c>
      <c r="Q4">
        <v>383.17686274509776</v>
      </c>
      <c r="R4">
        <v>262.13803921568615</v>
      </c>
      <c r="S4">
        <v>873.46313725490177</v>
      </c>
    </row>
    <row r="5" spans="1:19" x14ac:dyDescent="0.3">
      <c r="A5">
        <v>2013</v>
      </c>
      <c r="B5" t="s">
        <v>34</v>
      </c>
      <c r="C5">
        <v>1380.3999999999999</v>
      </c>
      <c r="D5">
        <v>104.4</v>
      </c>
      <c r="E5">
        <v>310.70000000000005</v>
      </c>
      <c r="F5">
        <v>209.6</v>
      </c>
      <c r="G5">
        <v>738.5</v>
      </c>
      <c r="H5">
        <f>MATCH(B5,{"January","February","March","April","May","June","July","August","September","October","November","December"},0)</f>
        <v>2</v>
      </c>
      <c r="I5" s="9">
        <f t="shared" si="0"/>
        <v>41306</v>
      </c>
      <c r="J5" t="str">
        <f t="shared" si="1"/>
        <v>Pre Covid</v>
      </c>
      <c r="K5">
        <v>105.8</v>
      </c>
      <c r="L5" t="e">
        <f t="shared" si="2"/>
        <v>#N/A</v>
      </c>
      <c r="N5" s="3" t="s">
        <v>53</v>
      </c>
      <c r="O5">
        <v>1826.3262768817192</v>
      </c>
      <c r="P5">
        <v>138.61451612903227</v>
      </c>
      <c r="Q5">
        <v>416.09684139784963</v>
      </c>
      <c r="R5">
        <v>289.6974462365593</v>
      </c>
      <c r="S5">
        <v>952.6244623655914</v>
      </c>
    </row>
    <row r="6" spans="1:19" x14ac:dyDescent="0.3">
      <c r="A6">
        <v>2013</v>
      </c>
      <c r="B6" t="s">
        <v>34</v>
      </c>
      <c r="C6">
        <v>1390.6000000000001</v>
      </c>
      <c r="D6">
        <v>104.7</v>
      </c>
      <c r="E6">
        <v>309.8</v>
      </c>
      <c r="F6">
        <v>209.3</v>
      </c>
      <c r="G6">
        <v>736.69999999999993</v>
      </c>
      <c r="H6">
        <f>MATCH(B6,{"January","February","March","April","May","June","July","August","September","October","November","December"},0)</f>
        <v>2</v>
      </c>
      <c r="I6" s="9">
        <f t="shared" si="0"/>
        <v>41306</v>
      </c>
      <c r="J6" t="str">
        <f t="shared" si="1"/>
        <v>Pre Covid</v>
      </c>
      <c r="K6">
        <v>104.7</v>
      </c>
      <c r="L6" t="e">
        <f t="shared" si="2"/>
        <v>#N/A</v>
      </c>
    </row>
    <row r="7" spans="1:19" x14ac:dyDescent="0.3">
      <c r="A7">
        <v>2013</v>
      </c>
      <c r="B7" t="s">
        <v>34</v>
      </c>
      <c r="C7">
        <v>1384.2</v>
      </c>
      <c r="D7">
        <v>104.5</v>
      </c>
      <c r="E7">
        <v>310.3</v>
      </c>
      <c r="F7">
        <v>209.3</v>
      </c>
      <c r="G7">
        <v>738</v>
      </c>
      <c r="H7">
        <f>MATCH(B7,{"January","February","March","April","May","June","July","August","September","October","November","December"},0)</f>
        <v>2</v>
      </c>
      <c r="I7" s="9">
        <f t="shared" si="0"/>
        <v>41306</v>
      </c>
      <c r="J7" t="str">
        <f t="shared" si="1"/>
        <v>Pre Covid</v>
      </c>
      <c r="K7">
        <v>105.3</v>
      </c>
      <c r="L7" t="e">
        <f t="shared" si="2"/>
        <v>#N/A</v>
      </c>
    </row>
    <row r="8" spans="1:19" x14ac:dyDescent="0.3">
      <c r="A8">
        <v>2013</v>
      </c>
      <c r="B8" t="s">
        <v>35</v>
      </c>
      <c r="C8">
        <v>1382.2</v>
      </c>
      <c r="D8">
        <v>104.7</v>
      </c>
      <c r="E8">
        <v>310.8</v>
      </c>
      <c r="F8">
        <v>210.5</v>
      </c>
      <c r="G8">
        <v>741</v>
      </c>
      <c r="H8">
        <f>MATCH(B8,{"January","February","March","April","May","June","July","August","September","October","November","December"},0)</f>
        <v>3</v>
      </c>
      <c r="I8" s="9">
        <f t="shared" si="0"/>
        <v>41334</v>
      </c>
      <c r="J8" t="str">
        <f t="shared" si="1"/>
        <v>Pre Covid</v>
      </c>
      <c r="K8">
        <v>106</v>
      </c>
      <c r="L8" t="e">
        <f t="shared" si="2"/>
        <v>#N/A</v>
      </c>
      <c r="N8" s="37" t="s">
        <v>59</v>
      </c>
      <c r="O8" s="21" t="s">
        <v>76</v>
      </c>
      <c r="P8" s="21" t="s">
        <v>77</v>
      </c>
      <c r="Q8" s="36" t="s">
        <v>82</v>
      </c>
    </row>
    <row r="9" spans="1:19" x14ac:dyDescent="0.3">
      <c r="A9">
        <v>2013</v>
      </c>
      <c r="B9" t="s">
        <v>35</v>
      </c>
      <c r="C9">
        <v>1386.8</v>
      </c>
      <c r="D9">
        <v>105.2</v>
      </c>
      <c r="E9">
        <v>310.2</v>
      </c>
      <c r="F9">
        <v>210.3</v>
      </c>
      <c r="G9">
        <v>740.5</v>
      </c>
      <c r="H9">
        <f>MATCH(B9,{"January","February","March","April","May","June","July","August","September","October","November","December"},0)</f>
        <v>3</v>
      </c>
      <c r="I9" s="9">
        <f t="shared" si="0"/>
        <v>41334</v>
      </c>
      <c r="J9" t="str">
        <f t="shared" si="1"/>
        <v>Pre Covid</v>
      </c>
      <c r="K9">
        <v>105</v>
      </c>
      <c r="L9" t="e">
        <f t="shared" si="2"/>
        <v>#N/A</v>
      </c>
      <c r="N9" s="4" t="s">
        <v>83</v>
      </c>
      <c r="O9" s="5">
        <v>2151.1561965812002</v>
      </c>
      <c r="P9" s="5">
        <v>1677.2866666666666</v>
      </c>
      <c r="Q9" s="5">
        <f>((O9-P9)/P9)*100</f>
        <v>28.252149100801709</v>
      </c>
    </row>
    <row r="10" spans="1:19" x14ac:dyDescent="0.3">
      <c r="A10">
        <v>2013</v>
      </c>
      <c r="B10" t="s">
        <v>35</v>
      </c>
      <c r="C10">
        <v>1384.0000000000002</v>
      </c>
      <c r="D10">
        <v>104.9</v>
      </c>
      <c r="E10">
        <v>310.5</v>
      </c>
      <c r="F10">
        <v>210.3</v>
      </c>
      <c r="G10">
        <v>740.9</v>
      </c>
      <c r="H10">
        <f>MATCH(B10,{"January","February","March","April","May","June","July","August","September","October","November","December"},0)</f>
        <v>3</v>
      </c>
      <c r="I10" s="9">
        <f t="shared" si="0"/>
        <v>41334</v>
      </c>
      <c r="J10" t="str">
        <f t="shared" si="1"/>
        <v>Pre Covid</v>
      </c>
      <c r="K10">
        <v>105.5</v>
      </c>
      <c r="L10" t="e">
        <f t="shared" si="2"/>
        <v>#N/A</v>
      </c>
      <c r="N10" s="4" t="s">
        <v>64</v>
      </c>
      <c r="O10" s="5">
        <v>167.7735042735043</v>
      </c>
      <c r="P10" s="5">
        <v>125.23568627450986</v>
      </c>
      <c r="Q10" s="5">
        <f t="shared" ref="Q10:Q12" si="3">((O10-P10)/P10)*100</f>
        <v>33.9662114405265</v>
      </c>
    </row>
    <row r="11" spans="1:19" x14ac:dyDescent="0.3">
      <c r="A11">
        <v>2013</v>
      </c>
      <c r="B11" t="s">
        <v>36</v>
      </c>
      <c r="C11">
        <v>1385.8</v>
      </c>
      <c r="D11">
        <v>105.1</v>
      </c>
      <c r="E11">
        <v>311.8</v>
      </c>
      <c r="F11">
        <v>211.6</v>
      </c>
      <c r="G11">
        <v>741.30000000000007</v>
      </c>
      <c r="H11">
        <f>MATCH(B11,{"January","February","March","April","May","June","July","August","September","October","November","December"},0)</f>
        <v>4</v>
      </c>
      <c r="I11" s="9">
        <f t="shared" si="0"/>
        <v>41365</v>
      </c>
      <c r="J11" t="str">
        <f t="shared" si="1"/>
        <v>Pre Covid</v>
      </c>
      <c r="K11">
        <v>106.4</v>
      </c>
      <c r="L11" t="e">
        <f t="shared" si="2"/>
        <v>#N/A</v>
      </c>
      <c r="N11" s="4" t="s">
        <v>84</v>
      </c>
      <c r="O11" s="5">
        <v>487.84551282051297</v>
      </c>
      <c r="P11" s="5">
        <v>383.17686274509776</v>
      </c>
      <c r="Q11" s="5">
        <f>((O11-P11)/P11)*100</f>
        <v>27.31601520132606</v>
      </c>
    </row>
    <row r="12" spans="1:19" x14ac:dyDescent="0.3">
      <c r="A12">
        <v>2013</v>
      </c>
      <c r="B12" t="s">
        <v>36</v>
      </c>
      <c r="C12">
        <v>1397.6999999999998</v>
      </c>
      <c r="D12">
        <v>105.7</v>
      </c>
      <c r="E12">
        <v>312.10000000000002</v>
      </c>
      <c r="F12">
        <v>212.5</v>
      </c>
      <c r="G12">
        <v>741.80000000000007</v>
      </c>
      <c r="H12">
        <f>MATCH(B12,{"January","February","March","April","May","June","July","August","September","October","November","December"},0)</f>
        <v>4</v>
      </c>
      <c r="I12" s="9">
        <f t="shared" si="0"/>
        <v>41365</v>
      </c>
      <c r="J12" t="str">
        <f t="shared" si="1"/>
        <v>Pre Covid</v>
      </c>
      <c r="K12">
        <v>105.7</v>
      </c>
      <c r="L12" t="e">
        <f t="shared" si="2"/>
        <v>#N/A</v>
      </c>
      <c r="N12" s="4" t="s">
        <v>85</v>
      </c>
      <c r="O12" s="5">
        <v>349.76282051282055</v>
      </c>
      <c r="P12" s="5">
        <v>262.13803921568615</v>
      </c>
      <c r="Q12" s="5">
        <f t="shared" si="3"/>
        <v>33.426961443408473</v>
      </c>
    </row>
    <row r="13" spans="1:19" x14ac:dyDescent="0.3">
      <c r="A13">
        <v>2013</v>
      </c>
      <c r="B13" t="s">
        <v>36</v>
      </c>
      <c r="C13">
        <v>1390.2</v>
      </c>
      <c r="D13">
        <v>105.3</v>
      </c>
      <c r="E13">
        <v>312</v>
      </c>
      <c r="F13">
        <v>211.7</v>
      </c>
      <c r="G13">
        <v>741.59999999999991</v>
      </c>
      <c r="H13">
        <f>MATCH(B13,{"January","February","March","April","May","June","July","August","September","October","November","December"},0)</f>
        <v>4</v>
      </c>
      <c r="I13" s="9">
        <f t="shared" si="0"/>
        <v>41365</v>
      </c>
      <c r="J13" t="str">
        <f t="shared" si="1"/>
        <v>Pre Covid</v>
      </c>
      <c r="K13">
        <v>106.1</v>
      </c>
      <c r="L13" t="e">
        <f t="shared" si="2"/>
        <v>#N/A</v>
      </c>
      <c r="N13" s="4" t="s">
        <v>86</v>
      </c>
      <c r="O13" s="5">
        <v>1125.1555555555553</v>
      </c>
      <c r="P13" s="5">
        <v>873.46313725490177</v>
      </c>
      <c r="Q13" s="5">
        <f>((O13-P13)/P13)*100</f>
        <v>28.81545969892516</v>
      </c>
    </row>
    <row r="14" spans="1:19" x14ac:dyDescent="0.3">
      <c r="A14">
        <v>2013</v>
      </c>
      <c r="B14" t="s">
        <v>37</v>
      </c>
      <c r="C14">
        <v>1394</v>
      </c>
      <c r="D14">
        <v>105.7</v>
      </c>
      <c r="E14">
        <v>313.5</v>
      </c>
      <c r="F14">
        <v>213.1</v>
      </c>
      <c r="G14">
        <v>743.09999999999991</v>
      </c>
      <c r="H14">
        <f>MATCH(B14,{"January","February","March","April","May","June","July","August","September","October","November","December"},0)</f>
        <v>5</v>
      </c>
      <c r="I14" s="9">
        <f t="shared" si="0"/>
        <v>41395</v>
      </c>
      <c r="J14" t="str">
        <f t="shared" si="1"/>
        <v>Pre Covid</v>
      </c>
      <c r="K14">
        <v>107.2</v>
      </c>
      <c r="L14" t="e">
        <f t="shared" si="2"/>
        <v>#N/A</v>
      </c>
    </row>
    <row r="15" spans="1:19" x14ac:dyDescent="0.3">
      <c r="A15">
        <v>2013</v>
      </c>
      <c r="B15" t="s">
        <v>37</v>
      </c>
      <c r="C15">
        <v>1417.1999999999998</v>
      </c>
      <c r="D15">
        <v>106.2</v>
      </c>
      <c r="E15">
        <v>313.39999999999998</v>
      </c>
      <c r="F15">
        <v>214.39999999999998</v>
      </c>
      <c r="G15">
        <v>742</v>
      </c>
      <c r="H15">
        <f>MATCH(B15,{"January","February","March","April","May","June","July","August","September","October","November","December"},0)</f>
        <v>5</v>
      </c>
      <c r="I15" s="9">
        <f t="shared" si="0"/>
        <v>41395</v>
      </c>
      <c r="J15" t="str">
        <f t="shared" si="1"/>
        <v>Pre Covid</v>
      </c>
      <c r="K15">
        <v>106.6</v>
      </c>
      <c r="L15" t="e">
        <f t="shared" si="2"/>
        <v>#N/A</v>
      </c>
    </row>
    <row r="16" spans="1:19" x14ac:dyDescent="0.3">
      <c r="A16">
        <v>2013</v>
      </c>
      <c r="B16" t="s">
        <v>37</v>
      </c>
      <c r="C16">
        <v>1402.1999999999998</v>
      </c>
      <c r="D16">
        <v>105.9</v>
      </c>
      <c r="E16">
        <v>313.5</v>
      </c>
      <c r="F16">
        <v>213.39999999999998</v>
      </c>
      <c r="G16">
        <v>742.59999999999991</v>
      </c>
      <c r="H16">
        <f>MATCH(B16,{"January","February","March","April","May","June","July","August","September","October","November","December"},0)</f>
        <v>5</v>
      </c>
      <c r="I16" s="9">
        <f t="shared" si="0"/>
        <v>41395</v>
      </c>
      <c r="J16" t="str">
        <f t="shared" si="1"/>
        <v>Pre Covid</v>
      </c>
      <c r="K16">
        <v>106.9</v>
      </c>
      <c r="L16" t="e">
        <f t="shared" si="2"/>
        <v>#N/A</v>
      </c>
    </row>
    <row r="17" spans="1:12" x14ac:dyDescent="0.3">
      <c r="A17">
        <v>2013</v>
      </c>
      <c r="B17" t="s">
        <v>38</v>
      </c>
      <c r="C17">
        <v>1420</v>
      </c>
      <c r="D17">
        <v>106.3</v>
      </c>
      <c r="E17">
        <v>321.60000000000002</v>
      </c>
      <c r="F17">
        <v>214.6</v>
      </c>
      <c r="G17">
        <v>748.5</v>
      </c>
      <c r="H17">
        <f>MATCH(B17,{"January","February","March","April","May","June","July","August","September","October","November","December"},0)</f>
        <v>6</v>
      </c>
      <c r="I17" s="9">
        <f t="shared" si="0"/>
        <v>41426</v>
      </c>
      <c r="J17" t="str">
        <f t="shared" si="1"/>
        <v>Pre Covid</v>
      </c>
      <c r="K17">
        <v>108.9</v>
      </c>
      <c r="L17" t="e">
        <f t="shared" si="2"/>
        <v>#N/A</v>
      </c>
    </row>
    <row r="18" spans="1:12" x14ac:dyDescent="0.3">
      <c r="A18">
        <v>2013</v>
      </c>
      <c r="B18" t="s">
        <v>38</v>
      </c>
      <c r="C18">
        <v>1464.6000000000001</v>
      </c>
      <c r="D18">
        <v>106.5</v>
      </c>
      <c r="E18">
        <v>322.7</v>
      </c>
      <c r="F18">
        <v>216.10000000000002</v>
      </c>
      <c r="G18">
        <v>747.6</v>
      </c>
      <c r="H18">
        <f>MATCH(B18,{"January","February","March","April","May","June","July","August","September","October","November","December"},0)</f>
        <v>6</v>
      </c>
      <c r="I18" s="9">
        <f t="shared" si="0"/>
        <v>41426</v>
      </c>
      <c r="J18" t="str">
        <f t="shared" si="1"/>
        <v>Pre Covid</v>
      </c>
      <c r="K18">
        <v>109.7</v>
      </c>
      <c r="L18" t="e">
        <f t="shared" si="2"/>
        <v>#N/A</v>
      </c>
    </row>
    <row r="19" spans="1:12" x14ac:dyDescent="0.3">
      <c r="A19">
        <v>2013</v>
      </c>
      <c r="B19" t="s">
        <v>38</v>
      </c>
      <c r="C19">
        <v>1436</v>
      </c>
      <c r="D19">
        <v>106.4</v>
      </c>
      <c r="E19">
        <v>322.29999999999995</v>
      </c>
      <c r="F19">
        <v>214.9</v>
      </c>
      <c r="G19">
        <v>748.19999999999993</v>
      </c>
      <c r="H19">
        <f>MATCH(B19,{"January","February","March","April","May","June","July","August","September","October","November","December"},0)</f>
        <v>6</v>
      </c>
      <c r="I19" s="9">
        <f t="shared" si="0"/>
        <v>41426</v>
      </c>
      <c r="J19" t="str">
        <f t="shared" si="1"/>
        <v>Pre Covid</v>
      </c>
      <c r="K19">
        <v>109.3</v>
      </c>
      <c r="L19" t="e">
        <f t="shared" si="2"/>
        <v>#N/A</v>
      </c>
    </row>
    <row r="20" spans="1:12" x14ac:dyDescent="0.3">
      <c r="A20">
        <v>2013</v>
      </c>
      <c r="B20" t="s">
        <v>39</v>
      </c>
      <c r="C20">
        <v>1445.8999999999996</v>
      </c>
      <c r="D20">
        <v>106.9</v>
      </c>
      <c r="E20">
        <v>325</v>
      </c>
      <c r="F20">
        <v>216.2</v>
      </c>
      <c r="G20">
        <v>754.4</v>
      </c>
      <c r="H20">
        <f>MATCH(B20,{"January","February","March","April","May","June","July","August","September","October","November","December"},0)</f>
        <v>7</v>
      </c>
      <c r="I20" s="9">
        <f t="shared" si="0"/>
        <v>41456</v>
      </c>
      <c r="J20" t="str">
        <f t="shared" si="1"/>
        <v>Pre Covid</v>
      </c>
      <c r="K20">
        <v>110.7</v>
      </c>
      <c r="L20" t="e">
        <f t="shared" si="2"/>
        <v>#N/A</v>
      </c>
    </row>
    <row r="21" spans="1:12" x14ac:dyDescent="0.3">
      <c r="A21">
        <v>2013</v>
      </c>
      <c r="B21" t="s">
        <v>39</v>
      </c>
      <c r="C21">
        <v>1489.4</v>
      </c>
      <c r="D21">
        <v>107.1</v>
      </c>
      <c r="E21">
        <v>326.39999999999998</v>
      </c>
      <c r="F21">
        <v>217.60000000000002</v>
      </c>
      <c r="G21">
        <v>753</v>
      </c>
      <c r="H21">
        <f>MATCH(B21,{"January","February","March","April","May","June","July","August","September","October","November","December"},0)</f>
        <v>7</v>
      </c>
      <c r="I21" s="9">
        <f t="shared" si="0"/>
        <v>41456</v>
      </c>
      <c r="J21" t="str">
        <f t="shared" si="1"/>
        <v>Pre Covid</v>
      </c>
      <c r="K21">
        <v>111.4</v>
      </c>
      <c r="L21" t="e">
        <f t="shared" si="2"/>
        <v>#N/A</v>
      </c>
    </row>
    <row r="22" spans="1:12" x14ac:dyDescent="0.3">
      <c r="A22">
        <v>2013</v>
      </c>
      <c r="B22" t="s">
        <v>39</v>
      </c>
      <c r="C22">
        <v>1461.3999999999999</v>
      </c>
      <c r="D22">
        <v>107</v>
      </c>
      <c r="E22">
        <v>326</v>
      </c>
      <c r="F22">
        <v>216.39999999999998</v>
      </c>
      <c r="G22">
        <v>753.99999999999989</v>
      </c>
      <c r="H22">
        <f>MATCH(B22,{"January","February","March","April","May","June","July","August","September","October","November","December"},0)</f>
        <v>7</v>
      </c>
      <c r="I22" s="9">
        <f t="shared" si="0"/>
        <v>41456</v>
      </c>
      <c r="J22" t="str">
        <f t="shared" si="1"/>
        <v>Pre Covid</v>
      </c>
      <c r="K22">
        <v>111</v>
      </c>
      <c r="L22" t="e">
        <f t="shared" si="2"/>
        <v>#N/A</v>
      </c>
    </row>
    <row r="23" spans="1:12" x14ac:dyDescent="0.3">
      <c r="A23">
        <v>2013</v>
      </c>
      <c r="B23" t="s">
        <v>40</v>
      </c>
      <c r="C23">
        <v>1462.5</v>
      </c>
      <c r="D23">
        <v>107.5</v>
      </c>
      <c r="E23">
        <v>327.5</v>
      </c>
      <c r="F23">
        <v>217.5</v>
      </c>
      <c r="G23">
        <v>761.6</v>
      </c>
      <c r="H23">
        <f>MATCH(B23,{"January","February","March","April","May","June","July","August","September","October","November","December"},0)</f>
        <v>8</v>
      </c>
      <c r="I23" s="9">
        <f t="shared" si="0"/>
        <v>41487</v>
      </c>
      <c r="J23" t="str">
        <f t="shared" si="1"/>
        <v>Pre Covid</v>
      </c>
      <c r="K23">
        <v>112.1</v>
      </c>
      <c r="L23" t="e">
        <f t="shared" si="2"/>
        <v>#N/A</v>
      </c>
    </row>
    <row r="24" spans="1:12" x14ac:dyDescent="0.3">
      <c r="A24">
        <v>2013</v>
      </c>
      <c r="B24" t="s">
        <v>40</v>
      </c>
      <c r="C24">
        <v>1506.1000000000001</v>
      </c>
      <c r="D24">
        <v>107.6</v>
      </c>
      <c r="E24">
        <v>329</v>
      </c>
      <c r="F24">
        <v>218.9</v>
      </c>
      <c r="G24">
        <v>760.19999999999993</v>
      </c>
      <c r="H24">
        <f>MATCH(B24,{"January","February","March","April","May","June","July","August","September","October","November","December"},0)</f>
        <v>8</v>
      </c>
      <c r="I24" s="9">
        <f t="shared" si="0"/>
        <v>41487</v>
      </c>
      <c r="J24" t="str">
        <f t="shared" si="1"/>
        <v>Pre Covid</v>
      </c>
      <c r="K24">
        <v>112.7</v>
      </c>
      <c r="L24" t="e">
        <f t="shared" si="2"/>
        <v>#N/A</v>
      </c>
    </row>
    <row r="25" spans="1:12" x14ac:dyDescent="0.3">
      <c r="A25">
        <v>2013</v>
      </c>
      <c r="B25" t="s">
        <v>40</v>
      </c>
      <c r="C25">
        <v>1477.4</v>
      </c>
      <c r="D25">
        <v>107.5</v>
      </c>
      <c r="E25">
        <v>328.5</v>
      </c>
      <c r="F25">
        <v>217.8</v>
      </c>
      <c r="G25">
        <v>761.09999999999991</v>
      </c>
      <c r="H25">
        <f>MATCH(B25,{"January","February","March","April","May","June","July","August","September","October","November","December"},0)</f>
        <v>8</v>
      </c>
      <c r="I25" s="9">
        <f t="shared" si="0"/>
        <v>41487</v>
      </c>
      <c r="J25" t="str">
        <f t="shared" si="1"/>
        <v>Pre Covid</v>
      </c>
      <c r="K25">
        <v>112.4</v>
      </c>
      <c r="L25" t="e">
        <f t="shared" si="2"/>
        <v>#N/A</v>
      </c>
    </row>
    <row r="26" spans="1:12" x14ac:dyDescent="0.3">
      <c r="A26">
        <v>2013</v>
      </c>
      <c r="B26" t="s">
        <v>41</v>
      </c>
      <c r="C26">
        <v>1488.5000000000002</v>
      </c>
      <c r="D26">
        <v>108.3</v>
      </c>
      <c r="E26">
        <v>330.6</v>
      </c>
      <c r="F26">
        <v>219.4</v>
      </c>
      <c r="G26">
        <v>770.90000000000009</v>
      </c>
      <c r="H26">
        <f>MATCH(B26,{"January","February","March","April","May","June","July","August","September","October","November","December"},0)</f>
        <v>9</v>
      </c>
      <c r="I26" s="9">
        <f t="shared" si="0"/>
        <v>41518</v>
      </c>
      <c r="J26" t="str">
        <f t="shared" si="1"/>
        <v>Pre Covid</v>
      </c>
      <c r="K26">
        <v>114.2</v>
      </c>
      <c r="L26" t="e">
        <f t="shared" si="2"/>
        <v>#N/A</v>
      </c>
    </row>
    <row r="27" spans="1:12" x14ac:dyDescent="0.3">
      <c r="A27">
        <v>2013</v>
      </c>
      <c r="B27" t="s">
        <v>41</v>
      </c>
      <c r="C27">
        <v>1500.4</v>
      </c>
      <c r="D27">
        <v>107.9</v>
      </c>
      <c r="E27">
        <v>330.4</v>
      </c>
      <c r="F27">
        <v>220.3</v>
      </c>
      <c r="G27">
        <v>767.8</v>
      </c>
      <c r="H27">
        <f>MATCH(B27,{"January","February","March","April","May","June","July","August","September","October","November","December"},0)</f>
        <v>9</v>
      </c>
      <c r="I27" s="9">
        <f t="shared" si="0"/>
        <v>41518</v>
      </c>
      <c r="J27" t="str">
        <f t="shared" si="1"/>
        <v>Pre Covid</v>
      </c>
      <c r="K27">
        <v>113.2</v>
      </c>
      <c r="L27" t="e">
        <f t="shared" si="2"/>
        <v>#N/A</v>
      </c>
    </row>
    <row r="28" spans="1:12" x14ac:dyDescent="0.3">
      <c r="A28">
        <v>2013</v>
      </c>
      <c r="B28" t="s">
        <v>41</v>
      </c>
      <c r="C28">
        <v>1491.6999999999998</v>
      </c>
      <c r="D28">
        <v>108.1</v>
      </c>
      <c r="E28">
        <v>330.79999999999995</v>
      </c>
      <c r="F28">
        <v>219.5</v>
      </c>
      <c r="G28">
        <v>769.8</v>
      </c>
      <c r="H28">
        <f>MATCH(B28,{"January","February","March","April","May","June","July","August","September","October","November","December"},0)</f>
        <v>9</v>
      </c>
      <c r="I28" s="9">
        <f t="shared" si="0"/>
        <v>41518</v>
      </c>
      <c r="J28" t="str">
        <f t="shared" si="1"/>
        <v>Pre Covid</v>
      </c>
      <c r="K28">
        <v>113.7</v>
      </c>
      <c r="L28" t="e">
        <f t="shared" si="2"/>
        <v>#N/A</v>
      </c>
    </row>
    <row r="29" spans="1:12" x14ac:dyDescent="0.3">
      <c r="A29">
        <v>2013</v>
      </c>
      <c r="B29" t="s">
        <v>42</v>
      </c>
      <c r="C29">
        <v>1508</v>
      </c>
      <c r="D29">
        <v>108.9</v>
      </c>
      <c r="E29">
        <v>332.3</v>
      </c>
      <c r="F29">
        <v>220.5</v>
      </c>
      <c r="G29">
        <v>775.59999999999991</v>
      </c>
      <c r="H29">
        <f>MATCH(B29,{"January","February","March","April","May","June","July","August","September","October","November","December"},0)</f>
        <v>10</v>
      </c>
      <c r="I29" s="9">
        <f t="shared" si="0"/>
        <v>41548</v>
      </c>
      <c r="J29" t="str">
        <f t="shared" si="1"/>
        <v>Pre Covid</v>
      </c>
      <c r="K29">
        <v>115.5</v>
      </c>
      <c r="L29" t="e">
        <f t="shared" si="2"/>
        <v>#N/A</v>
      </c>
    </row>
    <row r="30" spans="1:12" x14ac:dyDescent="0.3">
      <c r="A30">
        <v>2013</v>
      </c>
      <c r="B30" t="s">
        <v>42</v>
      </c>
      <c r="C30">
        <v>1517.1999999999998</v>
      </c>
      <c r="D30">
        <v>108.2</v>
      </c>
      <c r="E30">
        <v>331.5</v>
      </c>
      <c r="F30">
        <v>221.5</v>
      </c>
      <c r="G30">
        <v>770.8</v>
      </c>
      <c r="H30">
        <f>MATCH(B30,{"January","February","March","April","May","June","July","August","September","October","November","December"},0)</f>
        <v>10</v>
      </c>
      <c r="I30" s="9">
        <f t="shared" si="0"/>
        <v>41548</v>
      </c>
      <c r="J30" t="str">
        <f t="shared" si="1"/>
        <v>Pre Covid</v>
      </c>
      <c r="K30">
        <v>114</v>
      </c>
      <c r="L30" t="e">
        <f t="shared" si="2"/>
        <v>#N/A</v>
      </c>
    </row>
    <row r="31" spans="1:12" x14ac:dyDescent="0.3">
      <c r="A31">
        <v>2013</v>
      </c>
      <c r="B31" t="s">
        <v>42</v>
      </c>
      <c r="C31">
        <v>1510.2000000000003</v>
      </c>
      <c r="D31">
        <v>108.6</v>
      </c>
      <c r="E31">
        <v>332.2</v>
      </c>
      <c r="F31">
        <v>220.6</v>
      </c>
      <c r="G31">
        <v>773.6</v>
      </c>
      <c r="H31">
        <f>MATCH(B31,{"January","February","March","April","May","June","July","August","September","October","November","December"},0)</f>
        <v>10</v>
      </c>
      <c r="I31" s="9">
        <f t="shared" si="0"/>
        <v>41548</v>
      </c>
      <c r="J31" t="str">
        <f t="shared" si="1"/>
        <v>Pre Covid</v>
      </c>
      <c r="K31">
        <v>114.8</v>
      </c>
      <c r="L31" t="e">
        <f t="shared" si="2"/>
        <v>#N/A</v>
      </c>
    </row>
    <row r="32" spans="1:12" x14ac:dyDescent="0.3">
      <c r="A32">
        <v>2013</v>
      </c>
      <c r="B32" t="s">
        <v>43</v>
      </c>
      <c r="C32">
        <v>1536.8</v>
      </c>
      <c r="D32">
        <v>109.7</v>
      </c>
      <c r="E32">
        <v>334.7</v>
      </c>
      <c r="F32">
        <v>221.5</v>
      </c>
      <c r="G32">
        <v>781</v>
      </c>
      <c r="H32">
        <v>11</v>
      </c>
      <c r="I32" s="9">
        <f t="shared" si="0"/>
        <v>41579</v>
      </c>
      <c r="J32" t="str">
        <f t="shared" si="1"/>
        <v>Pre Covid</v>
      </c>
      <c r="K32">
        <v>117.4</v>
      </c>
      <c r="L32" t="e">
        <f t="shared" si="2"/>
        <v>#N/A</v>
      </c>
    </row>
    <row r="33" spans="1:12" x14ac:dyDescent="0.3">
      <c r="A33">
        <v>2013</v>
      </c>
      <c r="B33" t="s">
        <v>44</v>
      </c>
      <c r="C33">
        <v>1544.6</v>
      </c>
      <c r="D33">
        <v>108.6</v>
      </c>
      <c r="E33">
        <v>332.4</v>
      </c>
      <c r="F33">
        <v>222.6</v>
      </c>
      <c r="G33">
        <v>774.7</v>
      </c>
      <c r="H33">
        <f>MATCH(B33,{"January","February","March","April","May","June","July","August","September","October","November","December"},0)</f>
        <v>11</v>
      </c>
      <c r="I33" s="9">
        <f t="shared" si="0"/>
        <v>41579</v>
      </c>
      <c r="J33" t="str">
        <f t="shared" si="1"/>
        <v>Pre Covid</v>
      </c>
      <c r="K33">
        <v>115</v>
      </c>
      <c r="L33" t="e">
        <f t="shared" si="2"/>
        <v>#N/A</v>
      </c>
    </row>
    <row r="34" spans="1:12" x14ac:dyDescent="0.3">
      <c r="A34">
        <v>2013</v>
      </c>
      <c r="B34" t="s">
        <v>44</v>
      </c>
      <c r="C34">
        <v>1538.8</v>
      </c>
      <c r="D34">
        <v>109.3</v>
      </c>
      <c r="E34">
        <v>333.9</v>
      </c>
      <c r="F34">
        <v>221.7</v>
      </c>
      <c r="G34">
        <v>778.30000000000007</v>
      </c>
      <c r="H34">
        <f>MATCH(B34,{"January","February","March","April","May","June","July","August","September","October","November","December"},0)</f>
        <v>11</v>
      </c>
      <c r="I34" s="9">
        <f t="shared" si="0"/>
        <v>41579</v>
      </c>
      <c r="J34" t="str">
        <f t="shared" si="1"/>
        <v>Pre Covid</v>
      </c>
      <c r="K34">
        <v>116.3</v>
      </c>
      <c r="L34" t="e">
        <f t="shared" si="2"/>
        <v>#N/A</v>
      </c>
    </row>
    <row r="35" spans="1:12" x14ac:dyDescent="0.3">
      <c r="A35">
        <v>2013</v>
      </c>
      <c r="B35" t="s">
        <v>45</v>
      </c>
      <c r="C35">
        <v>1509</v>
      </c>
      <c r="D35">
        <v>110.1</v>
      </c>
      <c r="E35">
        <v>335.1</v>
      </c>
      <c r="F35">
        <v>222.8</v>
      </c>
      <c r="G35">
        <v>785.5</v>
      </c>
      <c r="H35">
        <f>MATCH(B35,{"January","February","March","April","May","June","July","August","September","October","November","December"},0)</f>
        <v>12</v>
      </c>
      <c r="I35" s="9">
        <f t="shared" si="0"/>
        <v>41609</v>
      </c>
      <c r="J35" t="str">
        <f t="shared" si="1"/>
        <v>Pre Covid</v>
      </c>
      <c r="K35">
        <v>115.5</v>
      </c>
      <c r="L35" t="e">
        <f t="shared" si="2"/>
        <v>#N/A</v>
      </c>
    </row>
    <row r="36" spans="1:12" x14ac:dyDescent="0.3">
      <c r="A36">
        <v>2013</v>
      </c>
      <c r="B36" t="s">
        <v>45</v>
      </c>
      <c r="C36">
        <v>1504.4</v>
      </c>
      <c r="D36">
        <v>109</v>
      </c>
      <c r="E36">
        <v>332.5</v>
      </c>
      <c r="F36">
        <v>223.9</v>
      </c>
      <c r="G36">
        <v>777.30000000000007</v>
      </c>
      <c r="H36">
        <f>MATCH(B36,{"January","February","March","April","May","June","July","August","September","October","November","December"},0)</f>
        <v>12</v>
      </c>
      <c r="I36" s="9">
        <f t="shared" si="0"/>
        <v>41609</v>
      </c>
      <c r="J36" t="str">
        <f t="shared" si="1"/>
        <v>Pre Covid</v>
      </c>
      <c r="K36">
        <v>113.3</v>
      </c>
      <c r="L36" t="e">
        <f t="shared" si="2"/>
        <v>#N/A</v>
      </c>
    </row>
    <row r="37" spans="1:12" x14ac:dyDescent="0.3">
      <c r="A37">
        <v>2013</v>
      </c>
      <c r="B37" t="s">
        <v>45</v>
      </c>
      <c r="C37">
        <v>1507.3000000000002</v>
      </c>
      <c r="D37">
        <v>109.7</v>
      </c>
      <c r="E37">
        <v>334.1</v>
      </c>
      <c r="F37">
        <v>223</v>
      </c>
      <c r="G37">
        <v>782.09999999999991</v>
      </c>
      <c r="H37">
        <f>MATCH(B37,{"January","February","March","April","May","June","July","August","September","October","November","December"},0)</f>
        <v>12</v>
      </c>
      <c r="I37" s="9">
        <f t="shared" si="0"/>
        <v>41609</v>
      </c>
      <c r="J37" t="str">
        <f t="shared" si="1"/>
        <v>Pre Covid</v>
      </c>
      <c r="K37">
        <v>114.5</v>
      </c>
      <c r="L37" t="e">
        <f t="shared" si="2"/>
        <v>#N/A</v>
      </c>
    </row>
    <row r="38" spans="1:12" x14ac:dyDescent="0.3">
      <c r="A38">
        <v>2014</v>
      </c>
      <c r="B38" t="s">
        <v>31</v>
      </c>
      <c r="C38">
        <v>1486.6000000000001</v>
      </c>
      <c r="D38">
        <v>110.6</v>
      </c>
      <c r="E38">
        <v>336.4</v>
      </c>
      <c r="F38">
        <v>223.6</v>
      </c>
      <c r="G38">
        <v>789.19999999999993</v>
      </c>
      <c r="H38">
        <f>MATCH(B38,{"January","February","March","April","May","June","July","August","September","October","November","December"},0)</f>
        <v>1</v>
      </c>
      <c r="I38" s="9">
        <f t="shared" si="0"/>
        <v>41640</v>
      </c>
      <c r="J38" t="str">
        <f t="shared" si="1"/>
        <v>Pre Covid</v>
      </c>
      <c r="K38">
        <v>114.2</v>
      </c>
      <c r="L38" t="e">
        <f t="shared" si="2"/>
        <v>#N/A</v>
      </c>
    </row>
    <row r="39" spans="1:12" x14ac:dyDescent="0.3">
      <c r="A39">
        <v>2014</v>
      </c>
      <c r="B39" t="s">
        <v>31</v>
      </c>
      <c r="C39">
        <v>1484.3</v>
      </c>
      <c r="D39">
        <v>109.7</v>
      </c>
      <c r="E39">
        <v>334.1</v>
      </c>
      <c r="F39">
        <v>225.5</v>
      </c>
      <c r="G39">
        <v>781.59999999999991</v>
      </c>
      <c r="H39">
        <f>MATCH(B39,{"January","February","March","April","May","June","July","August","September","October","November","December"},0)</f>
        <v>1</v>
      </c>
      <c r="I39" s="9">
        <f t="shared" si="0"/>
        <v>41640</v>
      </c>
      <c r="J39" t="str">
        <f t="shared" si="1"/>
        <v>Pre Covid</v>
      </c>
      <c r="K39">
        <v>112.9</v>
      </c>
      <c r="L39" t="e">
        <f t="shared" si="2"/>
        <v>#N/A</v>
      </c>
    </row>
    <row r="40" spans="1:12" x14ac:dyDescent="0.3">
      <c r="A40">
        <v>2014</v>
      </c>
      <c r="B40" t="s">
        <v>31</v>
      </c>
      <c r="C40">
        <v>1485.7999999999997</v>
      </c>
      <c r="D40">
        <v>110.3</v>
      </c>
      <c r="E40">
        <v>335.4</v>
      </c>
      <c r="F40">
        <v>224.2</v>
      </c>
      <c r="G40">
        <v>786.2</v>
      </c>
      <c r="H40">
        <f>MATCH(B40,{"January","February","March","April","May","June","July","August","September","October","November","December"},0)</f>
        <v>1</v>
      </c>
      <c r="I40" s="9">
        <f t="shared" si="0"/>
        <v>41640</v>
      </c>
      <c r="J40" t="str">
        <f t="shared" si="1"/>
        <v>Pre Covid</v>
      </c>
      <c r="K40">
        <v>113.6</v>
      </c>
      <c r="L40" t="e">
        <f t="shared" si="2"/>
        <v>#N/A</v>
      </c>
    </row>
    <row r="41" spans="1:12" x14ac:dyDescent="0.3">
      <c r="A41">
        <v>2014</v>
      </c>
      <c r="B41" t="s">
        <v>34</v>
      </c>
      <c r="C41">
        <v>1482.2</v>
      </c>
      <c r="D41">
        <v>110.9</v>
      </c>
      <c r="E41">
        <v>337.7</v>
      </c>
      <c r="F41">
        <v>224.10000000000002</v>
      </c>
      <c r="G41">
        <v>791.6</v>
      </c>
      <c r="H41">
        <f>MATCH(B41,{"January","February","March","April","May","June","July","August","September","October","November","December"},0)</f>
        <v>2</v>
      </c>
      <c r="I41" s="9">
        <f t="shared" si="0"/>
        <v>41671</v>
      </c>
      <c r="J41" t="str">
        <f t="shared" si="1"/>
        <v>Pre Covid</v>
      </c>
      <c r="K41">
        <v>114</v>
      </c>
      <c r="L41" t="e">
        <f t="shared" si="2"/>
        <v>#N/A</v>
      </c>
    </row>
    <row r="42" spans="1:12" x14ac:dyDescent="0.3">
      <c r="A42">
        <v>2014</v>
      </c>
      <c r="B42" t="s">
        <v>34</v>
      </c>
      <c r="C42">
        <v>1476</v>
      </c>
      <c r="D42">
        <v>110.4</v>
      </c>
      <c r="E42">
        <v>335.2</v>
      </c>
      <c r="F42">
        <v>226.5</v>
      </c>
      <c r="G42">
        <v>785.3</v>
      </c>
      <c r="H42">
        <f>MATCH(B42,{"January","February","March","April","May","June","July","August","September","October","November","December"},0)</f>
        <v>2</v>
      </c>
      <c r="I42" s="9">
        <f t="shared" si="0"/>
        <v>41671</v>
      </c>
      <c r="J42" t="str">
        <f t="shared" si="1"/>
        <v>Pre Covid</v>
      </c>
      <c r="K42">
        <v>113.1</v>
      </c>
      <c r="L42" t="e">
        <f t="shared" si="2"/>
        <v>#N/A</v>
      </c>
    </row>
    <row r="43" spans="1:12" x14ac:dyDescent="0.3">
      <c r="A43">
        <v>2014</v>
      </c>
      <c r="B43" t="s">
        <v>34</v>
      </c>
      <c r="C43">
        <v>1480.1</v>
      </c>
      <c r="D43">
        <v>110.7</v>
      </c>
      <c r="E43">
        <v>336.7</v>
      </c>
      <c r="F43">
        <v>224.8</v>
      </c>
      <c r="G43">
        <v>789.1</v>
      </c>
      <c r="H43">
        <f>MATCH(B43,{"January","February","March","April","May","June","July","August","September","October","November","December"},0)</f>
        <v>2</v>
      </c>
      <c r="I43" s="9">
        <f t="shared" si="0"/>
        <v>41671</v>
      </c>
      <c r="J43" t="str">
        <f t="shared" si="1"/>
        <v>Pre Covid</v>
      </c>
      <c r="K43">
        <v>113.6</v>
      </c>
      <c r="L43" t="e">
        <f t="shared" si="2"/>
        <v>#N/A</v>
      </c>
    </row>
    <row r="44" spans="1:12" x14ac:dyDescent="0.3">
      <c r="A44">
        <v>2014</v>
      </c>
      <c r="B44" t="s">
        <v>35</v>
      </c>
      <c r="C44">
        <v>1491.4</v>
      </c>
      <c r="D44">
        <v>111.4</v>
      </c>
      <c r="E44">
        <v>339</v>
      </c>
      <c r="F44">
        <v>224.8</v>
      </c>
      <c r="G44">
        <v>794.4</v>
      </c>
      <c r="H44">
        <f>MATCH(B44,{"January","February","March","April","May","June","July","August","September","October","November","December"},0)</f>
        <v>3</v>
      </c>
      <c r="I44" s="9">
        <f t="shared" si="0"/>
        <v>41699</v>
      </c>
      <c r="J44" t="str">
        <f t="shared" si="1"/>
        <v>Pre Covid</v>
      </c>
      <c r="K44">
        <v>114.6</v>
      </c>
      <c r="L44" t="e">
        <f t="shared" si="2"/>
        <v>#N/A</v>
      </c>
    </row>
    <row r="45" spans="1:12" x14ac:dyDescent="0.3">
      <c r="A45">
        <v>2014</v>
      </c>
      <c r="B45" t="s">
        <v>35</v>
      </c>
      <c r="C45">
        <v>1483</v>
      </c>
      <c r="D45">
        <v>110.8</v>
      </c>
      <c r="E45">
        <v>335.90000000000003</v>
      </c>
      <c r="F45">
        <v>227.60000000000002</v>
      </c>
      <c r="G45">
        <v>788.3</v>
      </c>
      <c r="H45">
        <f>MATCH(B45,{"January","February","March","April","May","June","July","August","September","October","November","December"},0)</f>
        <v>3</v>
      </c>
      <c r="I45" s="9">
        <f t="shared" si="0"/>
        <v>41699</v>
      </c>
      <c r="J45" t="str">
        <f t="shared" si="1"/>
        <v>Pre Covid</v>
      </c>
      <c r="K45">
        <v>113.7</v>
      </c>
      <c r="L45" t="e">
        <f t="shared" si="2"/>
        <v>#N/A</v>
      </c>
    </row>
    <row r="46" spans="1:12" x14ac:dyDescent="0.3">
      <c r="A46">
        <v>2014</v>
      </c>
      <c r="B46" t="s">
        <v>35</v>
      </c>
      <c r="C46">
        <v>1488.2999999999997</v>
      </c>
      <c r="D46">
        <v>111.2</v>
      </c>
      <c r="E46">
        <v>337.7</v>
      </c>
      <c r="F46">
        <v>225.8</v>
      </c>
      <c r="G46">
        <v>791.8</v>
      </c>
      <c r="H46">
        <f>MATCH(B46,{"January","February","March","April","May","June","July","August","September","October","November","December"},0)</f>
        <v>3</v>
      </c>
      <c r="I46" s="9">
        <f t="shared" si="0"/>
        <v>41699</v>
      </c>
      <c r="J46" t="str">
        <f t="shared" si="1"/>
        <v>Pre Covid</v>
      </c>
      <c r="K46">
        <v>114.2</v>
      </c>
      <c r="L46" t="e">
        <f t="shared" si="2"/>
        <v>#N/A</v>
      </c>
    </row>
    <row r="47" spans="1:12" x14ac:dyDescent="0.3">
      <c r="A47">
        <v>2014</v>
      </c>
      <c r="B47" t="s">
        <v>36</v>
      </c>
      <c r="C47">
        <v>1504.1000000000001</v>
      </c>
      <c r="D47">
        <v>111.8</v>
      </c>
      <c r="E47">
        <v>340.3</v>
      </c>
      <c r="F47">
        <v>225.9</v>
      </c>
      <c r="G47">
        <v>797.3</v>
      </c>
      <c r="H47">
        <f>MATCH(B47,{"January","February","March","April","May","June","July","August","September","October","November","December"},0)</f>
        <v>4</v>
      </c>
      <c r="I47" s="9">
        <f t="shared" si="0"/>
        <v>41730</v>
      </c>
      <c r="J47" t="str">
        <f t="shared" si="1"/>
        <v>Pre Covid</v>
      </c>
      <c r="K47">
        <v>115.4</v>
      </c>
      <c r="L47" t="e">
        <f t="shared" si="2"/>
        <v>#N/A</v>
      </c>
    </row>
    <row r="48" spans="1:12" x14ac:dyDescent="0.3">
      <c r="A48">
        <v>2014</v>
      </c>
      <c r="B48" t="s">
        <v>36</v>
      </c>
      <c r="C48">
        <v>1504.0000000000002</v>
      </c>
      <c r="D48">
        <v>111</v>
      </c>
      <c r="E48">
        <v>337.3</v>
      </c>
      <c r="F48">
        <v>228.8</v>
      </c>
      <c r="G48">
        <v>789.6</v>
      </c>
      <c r="H48">
        <f>MATCH(B48,{"January","February","March","April","May","June","July","August","September","October","November","December"},0)</f>
        <v>4</v>
      </c>
      <c r="I48" s="9">
        <f t="shared" si="0"/>
        <v>41730</v>
      </c>
      <c r="J48" t="str">
        <f t="shared" si="1"/>
        <v>Pre Covid</v>
      </c>
      <c r="K48">
        <v>114.7</v>
      </c>
      <c r="L48" t="e">
        <f t="shared" si="2"/>
        <v>#N/A</v>
      </c>
    </row>
    <row r="49" spans="1:12" x14ac:dyDescent="0.3">
      <c r="A49">
        <v>2014</v>
      </c>
      <c r="B49" t="s">
        <v>36</v>
      </c>
      <c r="C49">
        <v>1504.1</v>
      </c>
      <c r="D49">
        <v>111.5</v>
      </c>
      <c r="E49">
        <v>339.1</v>
      </c>
      <c r="F49">
        <v>226.9</v>
      </c>
      <c r="G49">
        <v>794.30000000000007</v>
      </c>
      <c r="H49">
        <f>MATCH(B49,{"January","February","March","April","May","June","July","August","September","October","November","December"},0)</f>
        <v>4</v>
      </c>
      <c r="I49" s="9">
        <f t="shared" si="0"/>
        <v>41730</v>
      </c>
      <c r="J49" t="str">
        <f t="shared" si="1"/>
        <v>Pre Covid</v>
      </c>
      <c r="K49">
        <v>115.1</v>
      </c>
      <c r="L49" t="e">
        <f t="shared" si="2"/>
        <v>#N/A</v>
      </c>
    </row>
    <row r="50" spans="1:12" x14ac:dyDescent="0.3">
      <c r="A50">
        <v>2014</v>
      </c>
      <c r="B50" t="s">
        <v>37</v>
      </c>
      <c r="C50">
        <v>1513.8999999999999</v>
      </c>
      <c r="D50">
        <v>112.1</v>
      </c>
      <c r="E50">
        <v>340.79999999999995</v>
      </c>
      <c r="F50">
        <v>227.2</v>
      </c>
      <c r="G50">
        <v>800.19999999999993</v>
      </c>
      <c r="H50">
        <f>MATCH(B50,{"January","February","March","April","May","June","July","August","September","October","November","December"},0)</f>
        <v>5</v>
      </c>
      <c r="I50" s="9">
        <f t="shared" si="0"/>
        <v>41760</v>
      </c>
      <c r="J50" t="str">
        <f t="shared" si="1"/>
        <v>Pre Covid</v>
      </c>
      <c r="K50">
        <v>116</v>
      </c>
      <c r="L50" t="e">
        <f t="shared" si="2"/>
        <v>#N/A</v>
      </c>
    </row>
    <row r="51" spans="1:12" x14ac:dyDescent="0.3">
      <c r="A51">
        <v>2014</v>
      </c>
      <c r="B51" t="s">
        <v>37</v>
      </c>
      <c r="C51">
        <v>1525.3000000000002</v>
      </c>
      <c r="D51">
        <v>111.2</v>
      </c>
      <c r="E51">
        <v>338.29999999999995</v>
      </c>
      <c r="F51">
        <v>229.8</v>
      </c>
      <c r="G51">
        <v>792.3</v>
      </c>
      <c r="H51">
        <f>MATCH(B51,{"January","February","March","April","May","June","July","August","September","October","November","December"},0)</f>
        <v>5</v>
      </c>
      <c r="I51" s="9">
        <f t="shared" si="0"/>
        <v>41760</v>
      </c>
      <c r="J51" t="str">
        <f t="shared" si="1"/>
        <v>Pre Covid</v>
      </c>
      <c r="K51">
        <v>115.6</v>
      </c>
      <c r="L51" t="e">
        <f t="shared" si="2"/>
        <v>#N/A</v>
      </c>
    </row>
    <row r="52" spans="1:12" x14ac:dyDescent="0.3">
      <c r="A52">
        <v>2014</v>
      </c>
      <c r="B52" t="s">
        <v>37</v>
      </c>
      <c r="C52">
        <v>1518.5000000000005</v>
      </c>
      <c r="D52">
        <v>111.8</v>
      </c>
      <c r="E52">
        <v>339.8</v>
      </c>
      <c r="F52">
        <v>228</v>
      </c>
      <c r="G52">
        <v>797.09999999999991</v>
      </c>
      <c r="H52">
        <f>MATCH(B52,{"January","February","March","April","May","June","July","August","September","October","November","December"},0)</f>
        <v>5</v>
      </c>
      <c r="I52" s="9">
        <f t="shared" si="0"/>
        <v>41760</v>
      </c>
      <c r="J52" t="str">
        <f t="shared" si="1"/>
        <v>Pre Covid</v>
      </c>
      <c r="K52">
        <v>115.8</v>
      </c>
      <c r="L52" t="e">
        <f t="shared" si="2"/>
        <v>#N/A</v>
      </c>
    </row>
    <row r="53" spans="1:12" x14ac:dyDescent="0.3">
      <c r="A53">
        <v>2014</v>
      </c>
      <c r="B53" t="s">
        <v>38</v>
      </c>
      <c r="C53">
        <v>1525.6999999999998</v>
      </c>
      <c r="D53">
        <v>112.8</v>
      </c>
      <c r="E53">
        <v>342.6</v>
      </c>
      <c r="F53">
        <v>228.7</v>
      </c>
      <c r="G53">
        <v>803.7</v>
      </c>
      <c r="H53">
        <f>MATCH(B53,{"January","February","March","April","May","June","July","August","September","October","November","December"},0)</f>
        <v>6</v>
      </c>
      <c r="I53" s="9">
        <f t="shared" si="0"/>
        <v>41791</v>
      </c>
      <c r="J53" t="str">
        <f t="shared" si="1"/>
        <v>Pre Covid</v>
      </c>
      <c r="K53">
        <v>117</v>
      </c>
      <c r="L53" t="e">
        <f t="shared" si="2"/>
        <v>#N/A</v>
      </c>
    </row>
    <row r="54" spans="1:12" x14ac:dyDescent="0.3">
      <c r="A54">
        <v>2014</v>
      </c>
      <c r="B54" t="s">
        <v>38</v>
      </c>
      <c r="C54">
        <v>1547</v>
      </c>
      <c r="D54">
        <v>111.4</v>
      </c>
      <c r="E54">
        <v>340.20000000000005</v>
      </c>
      <c r="F54">
        <v>230.8</v>
      </c>
      <c r="G54">
        <v>794.00000000000011</v>
      </c>
      <c r="H54">
        <f>MATCH(B54,{"January","February","March","April","May","June","July","August","September","October","November","December"},0)</f>
        <v>6</v>
      </c>
      <c r="I54" s="9">
        <f t="shared" si="0"/>
        <v>41791</v>
      </c>
      <c r="J54" t="str">
        <f t="shared" si="1"/>
        <v>Pre Covid</v>
      </c>
      <c r="K54">
        <v>116.4</v>
      </c>
      <c r="L54" t="e">
        <f t="shared" si="2"/>
        <v>#N/A</v>
      </c>
    </row>
    <row r="55" spans="1:12" x14ac:dyDescent="0.3">
      <c r="A55">
        <v>2014</v>
      </c>
      <c r="B55" t="s">
        <v>38</v>
      </c>
      <c r="C55">
        <v>1533.7000000000003</v>
      </c>
      <c r="D55">
        <v>112.3</v>
      </c>
      <c r="E55">
        <v>341.90000000000003</v>
      </c>
      <c r="F55">
        <v>229.39999999999998</v>
      </c>
      <c r="G55">
        <v>799.69999999999982</v>
      </c>
      <c r="H55">
        <f>MATCH(B55,{"January","February","March","April","May","June","July","August","September","October","November","December"},0)</f>
        <v>6</v>
      </c>
      <c r="I55" s="9">
        <f t="shared" si="0"/>
        <v>41791</v>
      </c>
      <c r="J55" t="str">
        <f t="shared" si="1"/>
        <v>Pre Covid</v>
      </c>
      <c r="K55">
        <v>116.7</v>
      </c>
      <c r="L55" t="e">
        <f t="shared" si="2"/>
        <v>#N/A</v>
      </c>
    </row>
    <row r="56" spans="1:12" x14ac:dyDescent="0.3">
      <c r="A56">
        <v>2014</v>
      </c>
      <c r="B56" t="s">
        <v>39</v>
      </c>
      <c r="C56">
        <v>1563.2</v>
      </c>
      <c r="D56">
        <v>113.4</v>
      </c>
      <c r="E56">
        <v>345.6</v>
      </c>
      <c r="F56">
        <v>229.8</v>
      </c>
      <c r="G56">
        <v>809.80000000000007</v>
      </c>
      <c r="H56">
        <f>MATCH(B56,{"January","February","March","April","May","June","July","August","September","October","November","December"},0)</f>
        <v>7</v>
      </c>
      <c r="I56" s="9">
        <f t="shared" si="0"/>
        <v>41821</v>
      </c>
      <c r="J56" t="str">
        <f t="shared" si="1"/>
        <v>Pre Covid</v>
      </c>
      <c r="K56">
        <v>119.5</v>
      </c>
      <c r="L56" t="e">
        <f t="shared" si="2"/>
        <v>#N/A</v>
      </c>
    </row>
    <row r="57" spans="1:12" x14ac:dyDescent="0.3">
      <c r="A57">
        <v>2014</v>
      </c>
      <c r="B57" t="s">
        <v>39</v>
      </c>
      <c r="C57">
        <v>1599.5</v>
      </c>
      <c r="D57">
        <v>111.5</v>
      </c>
      <c r="E57">
        <v>344.2</v>
      </c>
      <c r="F57">
        <v>233.4</v>
      </c>
      <c r="G57">
        <v>800.1</v>
      </c>
      <c r="H57">
        <f>MATCH(B57,{"January","February","March","April","May","June","July","August","September","October","November","December"},0)</f>
        <v>7</v>
      </c>
      <c r="I57" s="9">
        <f t="shared" si="0"/>
        <v>41821</v>
      </c>
      <c r="J57" t="str">
        <f t="shared" si="1"/>
        <v>Pre Covid</v>
      </c>
      <c r="K57">
        <v>118.9</v>
      </c>
      <c r="L57" t="e">
        <f t="shared" si="2"/>
        <v>#N/A</v>
      </c>
    </row>
    <row r="58" spans="1:12" x14ac:dyDescent="0.3">
      <c r="A58">
        <v>2014</v>
      </c>
      <c r="B58" t="s">
        <v>39</v>
      </c>
      <c r="C58">
        <v>1576.3</v>
      </c>
      <c r="D58">
        <v>112.7</v>
      </c>
      <c r="E58">
        <v>345.5</v>
      </c>
      <c r="F58">
        <v>230.89999999999998</v>
      </c>
      <c r="G58">
        <v>805.8</v>
      </c>
      <c r="H58">
        <f>MATCH(B58,{"January","February","March","April","May","June","July","August","September","October","November","December"},0)</f>
        <v>7</v>
      </c>
      <c r="I58" s="9">
        <f t="shared" si="0"/>
        <v>41821</v>
      </c>
      <c r="J58" t="str">
        <f t="shared" si="1"/>
        <v>Pre Covid</v>
      </c>
      <c r="K58">
        <v>119.2</v>
      </c>
      <c r="L58" t="e">
        <f t="shared" si="2"/>
        <v>#N/A</v>
      </c>
    </row>
    <row r="59" spans="1:12" x14ac:dyDescent="0.3">
      <c r="A59">
        <v>2014</v>
      </c>
      <c r="B59" t="s">
        <v>40</v>
      </c>
      <c r="C59">
        <v>1582.2999999999997</v>
      </c>
      <c r="D59">
        <v>114</v>
      </c>
      <c r="E59">
        <v>347.1</v>
      </c>
      <c r="F59">
        <v>231</v>
      </c>
      <c r="G59">
        <v>812.4</v>
      </c>
      <c r="H59">
        <f>MATCH(B59,{"January","February","March","April","May","June","July","August","September","October","November","December"},0)</f>
        <v>8</v>
      </c>
      <c r="I59" s="9">
        <f t="shared" si="0"/>
        <v>41852</v>
      </c>
      <c r="J59" t="str">
        <f t="shared" si="1"/>
        <v>Pre Covid</v>
      </c>
      <c r="K59">
        <v>120.7</v>
      </c>
      <c r="L59" t="e">
        <f t="shared" si="2"/>
        <v>#N/A</v>
      </c>
    </row>
    <row r="60" spans="1:12" x14ac:dyDescent="0.3">
      <c r="A60">
        <v>2014</v>
      </c>
      <c r="B60" t="s">
        <v>40</v>
      </c>
      <c r="C60">
        <v>1617</v>
      </c>
      <c r="D60">
        <v>112.2</v>
      </c>
      <c r="E60">
        <v>346.5</v>
      </c>
      <c r="F60">
        <v>235.9</v>
      </c>
      <c r="G60">
        <v>802.80000000000007</v>
      </c>
      <c r="H60">
        <f>MATCH(B60,{"January","February","March","April","May","June","July","August","September","October","November","December"},0)</f>
        <v>8</v>
      </c>
      <c r="I60" s="9">
        <f t="shared" si="0"/>
        <v>41852</v>
      </c>
      <c r="J60" t="str">
        <f t="shared" si="1"/>
        <v>Pre Covid</v>
      </c>
      <c r="K60">
        <v>119.9</v>
      </c>
      <c r="L60" t="e">
        <f t="shared" si="2"/>
        <v>#N/A</v>
      </c>
    </row>
    <row r="61" spans="1:12" x14ac:dyDescent="0.3">
      <c r="A61">
        <v>2014</v>
      </c>
      <c r="B61" t="s">
        <v>40</v>
      </c>
      <c r="C61">
        <v>1594.4999999999998</v>
      </c>
      <c r="D61">
        <v>113.3</v>
      </c>
      <c r="E61">
        <v>347.5</v>
      </c>
      <c r="F61">
        <v>232.5</v>
      </c>
      <c r="G61">
        <v>808.4</v>
      </c>
      <c r="H61">
        <f>MATCH(B61,{"January","February","March","April","May","June","July","August","September","October","November","December"},0)</f>
        <v>8</v>
      </c>
      <c r="I61" s="9">
        <f t="shared" si="0"/>
        <v>41852</v>
      </c>
      <c r="J61" t="str">
        <f t="shared" si="1"/>
        <v>Pre Covid</v>
      </c>
      <c r="K61">
        <v>120.3</v>
      </c>
      <c r="L61" t="e">
        <f t="shared" si="2"/>
        <v>#N/A</v>
      </c>
    </row>
    <row r="62" spans="1:12" x14ac:dyDescent="0.3">
      <c r="A62">
        <v>2014</v>
      </c>
      <c r="B62" t="s">
        <v>41</v>
      </c>
      <c r="C62">
        <v>1583.2</v>
      </c>
      <c r="D62">
        <v>114.5</v>
      </c>
      <c r="E62">
        <v>348.5</v>
      </c>
      <c r="F62">
        <v>232.1</v>
      </c>
      <c r="G62">
        <v>814.5</v>
      </c>
      <c r="H62">
        <f>MATCH(B62,{"January","February","March","April","May","June","July","August","September","October","November","December"},0)</f>
        <v>9</v>
      </c>
      <c r="I62" s="9">
        <f t="shared" si="0"/>
        <v>41883</v>
      </c>
      <c r="J62" t="str">
        <f t="shared" si="1"/>
        <v>Pre Covid</v>
      </c>
      <c r="K62">
        <v>120.9</v>
      </c>
      <c r="L62" t="e">
        <f t="shared" si="2"/>
        <v>#N/A</v>
      </c>
    </row>
    <row r="63" spans="1:12" x14ac:dyDescent="0.3">
      <c r="A63">
        <v>2014</v>
      </c>
      <c r="B63" t="s">
        <v>41</v>
      </c>
      <c r="C63">
        <v>1593.7000000000003</v>
      </c>
      <c r="D63">
        <v>112.3</v>
      </c>
      <c r="E63">
        <v>347.9</v>
      </c>
      <c r="F63">
        <v>237.7</v>
      </c>
      <c r="G63">
        <v>802.40000000000009</v>
      </c>
      <c r="H63">
        <f>MATCH(B63,{"January","February","March","April","May","June","July","August","September","October","November","December"},0)</f>
        <v>9</v>
      </c>
      <c r="I63" s="9">
        <f t="shared" si="0"/>
        <v>41883</v>
      </c>
      <c r="J63" t="str">
        <f t="shared" si="1"/>
        <v>Pre Covid</v>
      </c>
      <c r="K63">
        <v>119.2</v>
      </c>
      <c r="L63" t="e">
        <f t="shared" si="2"/>
        <v>#N/A</v>
      </c>
    </row>
    <row r="64" spans="1:12" x14ac:dyDescent="0.3">
      <c r="A64">
        <v>2014</v>
      </c>
      <c r="B64" t="s">
        <v>41</v>
      </c>
      <c r="C64">
        <v>1586.0999999999997</v>
      </c>
      <c r="D64">
        <v>113.7</v>
      </c>
      <c r="E64">
        <v>349</v>
      </c>
      <c r="F64">
        <v>233.89999999999998</v>
      </c>
      <c r="G64">
        <v>809.30000000000007</v>
      </c>
      <c r="H64">
        <f>MATCH(B64,{"January","February","March","April","May","June","July","August","September","October","November","December"},0)</f>
        <v>9</v>
      </c>
      <c r="I64" s="9">
        <f t="shared" si="0"/>
        <v>41883</v>
      </c>
      <c r="J64" t="str">
        <f t="shared" si="1"/>
        <v>Pre Covid</v>
      </c>
      <c r="K64">
        <v>120.1</v>
      </c>
      <c r="L64" t="e">
        <f t="shared" si="2"/>
        <v>#N/A</v>
      </c>
    </row>
    <row r="65" spans="1:12" x14ac:dyDescent="0.3">
      <c r="A65">
        <v>2014</v>
      </c>
      <c r="B65" t="s">
        <v>42</v>
      </c>
      <c r="C65">
        <v>1581.1999999999998</v>
      </c>
      <c r="D65">
        <v>115.3</v>
      </c>
      <c r="E65">
        <v>350</v>
      </c>
      <c r="F65">
        <v>233</v>
      </c>
      <c r="G65">
        <v>818.69999999999993</v>
      </c>
      <c r="H65">
        <f>MATCH(B65,{"January","February","March","April","May","June","July","August","September","October","November","December"},0)</f>
        <v>10</v>
      </c>
      <c r="I65" s="9">
        <f t="shared" si="0"/>
        <v>41913</v>
      </c>
      <c r="J65" t="str">
        <f t="shared" si="1"/>
        <v>Pre Covid</v>
      </c>
      <c r="K65">
        <v>121</v>
      </c>
      <c r="L65" t="e">
        <f t="shared" si="2"/>
        <v>#N/A</v>
      </c>
    </row>
    <row r="66" spans="1:12" x14ac:dyDescent="0.3">
      <c r="A66">
        <v>2014</v>
      </c>
      <c r="B66" t="s">
        <v>42</v>
      </c>
      <c r="C66">
        <v>1587.5</v>
      </c>
      <c r="D66">
        <v>112.6</v>
      </c>
      <c r="E66">
        <v>348.9</v>
      </c>
      <c r="F66">
        <v>237.89999999999998</v>
      </c>
      <c r="G66">
        <v>804.00000000000011</v>
      </c>
      <c r="H66">
        <f>MATCH(B66,{"January","February","March","April","May","June","July","August","September","October","November","December"},0)</f>
        <v>10</v>
      </c>
      <c r="I66" s="9">
        <f t="shared" si="0"/>
        <v>41913</v>
      </c>
      <c r="J66" t="str">
        <f t="shared" si="1"/>
        <v>Pre Covid</v>
      </c>
      <c r="K66">
        <v>119.1</v>
      </c>
      <c r="L66" t="e">
        <f t="shared" si="2"/>
        <v>#N/A</v>
      </c>
    </row>
    <row r="67" spans="1:12" x14ac:dyDescent="0.3">
      <c r="A67">
        <v>2014</v>
      </c>
      <c r="B67" t="s">
        <v>42</v>
      </c>
      <c r="C67">
        <v>1582.7</v>
      </c>
      <c r="D67">
        <v>114.3</v>
      </c>
      <c r="E67">
        <v>350.2</v>
      </c>
      <c r="F67">
        <v>234.39999999999998</v>
      </c>
      <c r="G67">
        <v>812.6</v>
      </c>
      <c r="H67">
        <f>MATCH(B67,{"January","February","March","April","May","June","July","August","September","October","November","December"},0)</f>
        <v>10</v>
      </c>
      <c r="I67" s="9">
        <f t="shared" ref="I67:I130" si="4">DATE(A67,H67,1)</f>
        <v>41913</v>
      </c>
      <c r="J67" t="str">
        <f t="shared" ref="J67:J130" si="5">IF(I67&lt;DATE(2020,3,1),"Pre Covid","Post Covid")</f>
        <v>Pre Covid</v>
      </c>
      <c r="K67">
        <v>120.1</v>
      </c>
      <c r="L67" t="e">
        <f t="shared" ref="L67:L130" si="6">IF(I67=DATE(2020,3,1),MAX(K67:K438),NA())</f>
        <v>#N/A</v>
      </c>
    </row>
    <row r="68" spans="1:12" x14ac:dyDescent="0.3">
      <c r="A68">
        <v>2014</v>
      </c>
      <c r="B68" t="s">
        <v>44</v>
      </c>
      <c r="C68">
        <v>1582</v>
      </c>
      <c r="D68">
        <v>115.9</v>
      </c>
      <c r="E68">
        <v>351.59999999999997</v>
      </c>
      <c r="F68">
        <v>234.1</v>
      </c>
      <c r="G68">
        <v>819.7</v>
      </c>
      <c r="H68">
        <f>MATCH(B68,{"January","February","March","April","May","June","July","August","September","October","November","December"},0)</f>
        <v>11</v>
      </c>
      <c r="I68" s="9">
        <f t="shared" si="4"/>
        <v>41944</v>
      </c>
      <c r="J68" t="str">
        <f t="shared" si="5"/>
        <v>Pre Covid</v>
      </c>
      <c r="K68">
        <v>121.1</v>
      </c>
      <c r="L68" t="e">
        <f t="shared" si="6"/>
        <v>#N/A</v>
      </c>
    </row>
    <row r="69" spans="1:12" x14ac:dyDescent="0.3">
      <c r="A69">
        <v>2014</v>
      </c>
      <c r="B69" t="s">
        <v>44</v>
      </c>
      <c r="C69">
        <v>1587.8</v>
      </c>
      <c r="D69">
        <v>113</v>
      </c>
      <c r="E69">
        <v>350</v>
      </c>
      <c r="F69">
        <v>239.8</v>
      </c>
      <c r="G69">
        <v>804.30000000000007</v>
      </c>
      <c r="H69">
        <f>MATCH(B69,{"January","February","March","April","May","June","July","August","September","October","November","December"},0)</f>
        <v>11</v>
      </c>
      <c r="I69" s="9">
        <f t="shared" si="4"/>
        <v>41944</v>
      </c>
      <c r="J69" t="str">
        <f t="shared" si="5"/>
        <v>Pre Covid</v>
      </c>
      <c r="K69">
        <v>119</v>
      </c>
      <c r="L69" t="e">
        <f t="shared" si="6"/>
        <v>#N/A</v>
      </c>
    </row>
    <row r="70" spans="1:12" x14ac:dyDescent="0.3">
      <c r="A70">
        <v>2014</v>
      </c>
      <c r="B70" t="s">
        <v>44</v>
      </c>
      <c r="C70">
        <v>1583.2</v>
      </c>
      <c r="D70">
        <v>114.8</v>
      </c>
      <c r="E70">
        <v>351.6</v>
      </c>
      <c r="F70">
        <v>235.8</v>
      </c>
      <c r="G70">
        <v>813.1</v>
      </c>
      <c r="H70">
        <f>MATCH(B70,{"January","February","March","April","May","June","July","August","September","October","November","December"},0)</f>
        <v>11</v>
      </c>
      <c r="I70" s="9">
        <f t="shared" si="4"/>
        <v>41944</v>
      </c>
      <c r="J70" t="str">
        <f t="shared" si="5"/>
        <v>Pre Covid</v>
      </c>
      <c r="K70">
        <v>120.1</v>
      </c>
      <c r="L70" t="e">
        <f t="shared" si="6"/>
        <v>#N/A</v>
      </c>
    </row>
    <row r="71" spans="1:12" x14ac:dyDescent="0.3">
      <c r="A71">
        <v>2014</v>
      </c>
      <c r="B71" t="s">
        <v>45</v>
      </c>
      <c r="C71">
        <v>1569.6</v>
      </c>
      <c r="D71">
        <v>116.2</v>
      </c>
      <c r="E71">
        <v>351.6</v>
      </c>
      <c r="F71">
        <v>235</v>
      </c>
      <c r="G71">
        <v>821</v>
      </c>
      <c r="H71">
        <f>MATCH(B71,{"January","February","March","April","May","June","July","August","September","October","November","December"},0)</f>
        <v>12</v>
      </c>
      <c r="I71" s="9">
        <f t="shared" si="4"/>
        <v>41974</v>
      </c>
      <c r="J71" t="str">
        <f t="shared" si="5"/>
        <v>Pre Covid</v>
      </c>
      <c r="K71">
        <v>120.3</v>
      </c>
      <c r="L71" t="e">
        <f t="shared" si="6"/>
        <v>#N/A</v>
      </c>
    </row>
    <row r="72" spans="1:12" x14ac:dyDescent="0.3">
      <c r="A72">
        <v>2014</v>
      </c>
      <c r="B72" t="s">
        <v>45</v>
      </c>
      <c r="C72">
        <v>1577.1999999999998</v>
      </c>
      <c r="D72">
        <v>113.2</v>
      </c>
      <c r="E72">
        <v>350.2</v>
      </c>
      <c r="F72">
        <v>240.7</v>
      </c>
      <c r="G72">
        <v>805.9</v>
      </c>
      <c r="H72">
        <f>MATCH(B72,{"January","February","March","April","May","June","July","August","September","October","November","December"},0)</f>
        <v>12</v>
      </c>
      <c r="I72" s="9">
        <f t="shared" si="4"/>
        <v>41974</v>
      </c>
      <c r="J72" t="str">
        <f t="shared" si="5"/>
        <v>Pre Covid</v>
      </c>
      <c r="K72">
        <v>118.4</v>
      </c>
      <c r="L72" t="e">
        <f t="shared" si="6"/>
        <v>#N/A</v>
      </c>
    </row>
    <row r="73" spans="1:12" x14ac:dyDescent="0.3">
      <c r="A73">
        <v>2014</v>
      </c>
      <c r="B73" t="s">
        <v>45</v>
      </c>
      <c r="C73">
        <v>1571.6999999999998</v>
      </c>
      <c r="D73">
        <v>115.1</v>
      </c>
      <c r="E73">
        <v>351.7</v>
      </c>
      <c r="F73">
        <v>236.9</v>
      </c>
      <c r="G73">
        <v>814.39999999999986</v>
      </c>
      <c r="H73">
        <f>MATCH(B73,{"January","February","March","April","May","June","July","August","September","October","November","December"},0)</f>
        <v>12</v>
      </c>
      <c r="I73" s="9">
        <f t="shared" si="4"/>
        <v>41974</v>
      </c>
      <c r="J73" t="str">
        <f t="shared" si="5"/>
        <v>Pre Covid</v>
      </c>
      <c r="K73">
        <v>119.4</v>
      </c>
      <c r="L73" t="e">
        <f t="shared" si="6"/>
        <v>#N/A</v>
      </c>
    </row>
    <row r="74" spans="1:12" x14ac:dyDescent="0.3">
      <c r="A74">
        <v>2015</v>
      </c>
      <c r="B74" t="s">
        <v>31</v>
      </c>
      <c r="C74">
        <v>1568.1</v>
      </c>
      <c r="D74">
        <v>116.6</v>
      </c>
      <c r="E74">
        <v>353.9</v>
      </c>
      <c r="F74">
        <v>236.7</v>
      </c>
      <c r="G74">
        <v>824.6</v>
      </c>
      <c r="H74">
        <f>MATCH(B74,{"January","February","March","April","May","June","July","August","September","October","November","December"},0)</f>
        <v>1</v>
      </c>
      <c r="I74" s="9">
        <f t="shared" si="4"/>
        <v>42005</v>
      </c>
      <c r="J74" t="str">
        <f t="shared" si="5"/>
        <v>Pre Covid</v>
      </c>
      <c r="K74">
        <v>120.3</v>
      </c>
      <c r="L74" t="e">
        <f t="shared" si="6"/>
        <v>#N/A</v>
      </c>
    </row>
    <row r="75" spans="1:12" x14ac:dyDescent="0.3">
      <c r="A75">
        <v>2015</v>
      </c>
      <c r="B75" t="s">
        <v>31</v>
      </c>
      <c r="C75">
        <v>1574.8999999999999</v>
      </c>
      <c r="D75">
        <v>113.7</v>
      </c>
      <c r="E75">
        <v>351.5</v>
      </c>
      <c r="F75">
        <v>242</v>
      </c>
      <c r="G75">
        <v>807.19999999999993</v>
      </c>
      <c r="H75">
        <f>MATCH(B75,{"January","February","March","April","May","June","July","August","September","October","November","December"},0)</f>
        <v>1</v>
      </c>
      <c r="I75" s="9">
        <f t="shared" si="4"/>
        <v>42005</v>
      </c>
      <c r="J75" t="str">
        <f t="shared" si="5"/>
        <v>Pre Covid</v>
      </c>
      <c r="K75">
        <v>118.5</v>
      </c>
      <c r="L75" t="e">
        <f t="shared" si="6"/>
        <v>#N/A</v>
      </c>
    </row>
    <row r="76" spans="1:12" x14ac:dyDescent="0.3">
      <c r="A76">
        <v>2015</v>
      </c>
      <c r="B76" t="s">
        <v>31</v>
      </c>
      <c r="C76">
        <v>1569.3</v>
      </c>
      <c r="D76">
        <v>115.5</v>
      </c>
      <c r="E76">
        <v>353.5</v>
      </c>
      <c r="F76">
        <v>238.3</v>
      </c>
      <c r="G76">
        <v>817.1</v>
      </c>
      <c r="H76">
        <f>MATCH(B76,{"January","February","March","April","May","June","July","August","September","October","November","December"},0)</f>
        <v>1</v>
      </c>
      <c r="I76" s="9">
        <f t="shared" si="4"/>
        <v>42005</v>
      </c>
      <c r="J76" t="str">
        <f t="shared" si="5"/>
        <v>Pre Covid</v>
      </c>
      <c r="K76">
        <v>119.5</v>
      </c>
      <c r="L76" t="e">
        <f t="shared" si="6"/>
        <v>#N/A</v>
      </c>
    </row>
    <row r="77" spans="1:12" x14ac:dyDescent="0.3">
      <c r="A77">
        <v>2015</v>
      </c>
      <c r="B77" t="s">
        <v>34</v>
      </c>
      <c r="C77">
        <v>1570.5999999999997</v>
      </c>
      <c r="D77">
        <v>117.7</v>
      </c>
      <c r="E77">
        <v>356.8</v>
      </c>
      <c r="F77">
        <v>239</v>
      </c>
      <c r="G77">
        <v>829.4</v>
      </c>
      <c r="H77">
        <f>MATCH(B77,{"January","February","March","April","May","June","July","August","September","October","November","December"},0)</f>
        <v>2</v>
      </c>
      <c r="I77" s="9">
        <f t="shared" si="4"/>
        <v>42036</v>
      </c>
      <c r="J77" t="str">
        <f t="shared" si="5"/>
        <v>Pre Covid</v>
      </c>
      <c r="K77">
        <v>120.6</v>
      </c>
      <c r="L77" t="e">
        <f t="shared" si="6"/>
        <v>#N/A</v>
      </c>
    </row>
    <row r="78" spans="1:12" x14ac:dyDescent="0.3">
      <c r="A78">
        <v>2015</v>
      </c>
      <c r="B78" t="s">
        <v>34</v>
      </c>
      <c r="C78">
        <v>1571.1000000000001</v>
      </c>
      <c r="D78">
        <v>114.1</v>
      </c>
      <c r="E78">
        <v>352.5</v>
      </c>
      <c r="F78">
        <v>243</v>
      </c>
      <c r="G78">
        <v>807.80000000000007</v>
      </c>
      <c r="H78">
        <f>MATCH(B78,{"January","February","March","April","May","June","July","August","September","October","November","December"},0)</f>
        <v>2</v>
      </c>
      <c r="I78" s="9">
        <f t="shared" si="4"/>
        <v>42036</v>
      </c>
      <c r="J78" t="str">
        <f t="shared" si="5"/>
        <v>Pre Covid</v>
      </c>
      <c r="K78">
        <v>118.7</v>
      </c>
      <c r="L78" t="e">
        <f t="shared" si="6"/>
        <v>#N/A</v>
      </c>
    </row>
    <row r="79" spans="1:12" x14ac:dyDescent="0.3">
      <c r="A79">
        <v>2015</v>
      </c>
      <c r="B79" t="s">
        <v>34</v>
      </c>
      <c r="C79">
        <v>1569.3999999999996</v>
      </c>
      <c r="D79">
        <v>116.3</v>
      </c>
      <c r="E79">
        <v>355.5</v>
      </c>
      <c r="F79">
        <v>240.10000000000002</v>
      </c>
      <c r="G79">
        <v>819.90000000000009</v>
      </c>
      <c r="H79">
        <f>MATCH(B79,{"January","February","March","April","May","June","July","August","September","October","November","December"},0)</f>
        <v>2</v>
      </c>
      <c r="I79" s="9">
        <f t="shared" si="4"/>
        <v>42036</v>
      </c>
      <c r="J79" t="str">
        <f t="shared" si="5"/>
        <v>Pre Covid</v>
      </c>
      <c r="K79">
        <v>119.7</v>
      </c>
      <c r="L79" t="e">
        <f t="shared" si="6"/>
        <v>#N/A</v>
      </c>
    </row>
    <row r="80" spans="1:12" x14ac:dyDescent="0.3">
      <c r="A80">
        <v>2015</v>
      </c>
      <c r="B80" t="s">
        <v>35</v>
      </c>
      <c r="C80">
        <v>1571.5</v>
      </c>
      <c r="D80">
        <v>118.2</v>
      </c>
      <c r="E80">
        <v>358.6</v>
      </c>
      <c r="F80">
        <v>240.2</v>
      </c>
      <c r="G80">
        <v>832.49999999999989</v>
      </c>
      <c r="H80">
        <f>MATCH(B80,{"January","February","March","April","May","June","July","August","September","October","November","December"},0)</f>
        <v>3</v>
      </c>
      <c r="I80" s="9">
        <f t="shared" si="4"/>
        <v>42064</v>
      </c>
      <c r="J80" t="str">
        <f t="shared" si="5"/>
        <v>Pre Covid</v>
      </c>
      <c r="K80">
        <v>121.1</v>
      </c>
      <c r="L80" t="e">
        <f t="shared" si="6"/>
        <v>#N/A</v>
      </c>
    </row>
    <row r="81" spans="1:12" x14ac:dyDescent="0.3">
      <c r="A81">
        <v>2015</v>
      </c>
      <c r="B81" t="s">
        <v>35</v>
      </c>
      <c r="C81">
        <v>1568.0000000000002</v>
      </c>
      <c r="D81">
        <v>114.3</v>
      </c>
      <c r="E81">
        <v>353.6</v>
      </c>
      <c r="F81">
        <v>244.20000000000002</v>
      </c>
      <c r="G81">
        <v>810.99999999999989</v>
      </c>
      <c r="H81">
        <f>MATCH(B81,{"January","February","March","April","May","June","July","August","September","October","November","December"},0)</f>
        <v>3</v>
      </c>
      <c r="I81" s="9">
        <f t="shared" si="4"/>
        <v>42064</v>
      </c>
      <c r="J81" t="str">
        <f t="shared" si="5"/>
        <v>Pre Covid</v>
      </c>
      <c r="K81">
        <v>119.1</v>
      </c>
      <c r="L81" t="e">
        <f t="shared" si="6"/>
        <v>#N/A</v>
      </c>
    </row>
    <row r="82" spans="1:12" x14ac:dyDescent="0.3">
      <c r="A82">
        <v>2015</v>
      </c>
      <c r="B82" t="s">
        <v>35</v>
      </c>
      <c r="C82">
        <v>1569.1</v>
      </c>
      <c r="D82">
        <v>116.7</v>
      </c>
      <c r="E82">
        <v>357</v>
      </c>
      <c r="F82">
        <v>241.2</v>
      </c>
      <c r="G82">
        <v>823.2</v>
      </c>
      <c r="H82">
        <f>MATCH(B82,{"January","February","March","April","May","June","July","August","September","October","November","December"},0)</f>
        <v>3</v>
      </c>
      <c r="I82" s="9">
        <f t="shared" si="4"/>
        <v>42064</v>
      </c>
      <c r="J82" t="str">
        <f t="shared" si="5"/>
        <v>Pre Covid</v>
      </c>
      <c r="K82">
        <v>120.2</v>
      </c>
      <c r="L82" t="e">
        <f t="shared" si="6"/>
        <v>#N/A</v>
      </c>
    </row>
    <row r="83" spans="1:12" x14ac:dyDescent="0.3">
      <c r="A83">
        <v>2015</v>
      </c>
      <c r="B83" t="s">
        <v>36</v>
      </c>
      <c r="C83">
        <v>1577.2</v>
      </c>
      <c r="D83">
        <v>118.6</v>
      </c>
      <c r="E83">
        <v>360.3</v>
      </c>
      <c r="F83">
        <v>241.9</v>
      </c>
      <c r="G83">
        <v>836.1</v>
      </c>
      <c r="H83">
        <f>MATCH(B83,{"January","February","March","April","May","June","July","August","September","October","November","December"},0)</f>
        <v>4</v>
      </c>
      <c r="I83" s="9">
        <f t="shared" si="4"/>
        <v>42095</v>
      </c>
      <c r="J83" t="str">
        <f t="shared" si="5"/>
        <v>Pre Covid</v>
      </c>
      <c r="K83">
        <v>121.5</v>
      </c>
      <c r="L83" t="e">
        <f t="shared" si="6"/>
        <v>#N/A</v>
      </c>
    </row>
    <row r="84" spans="1:12" x14ac:dyDescent="0.3">
      <c r="A84">
        <v>2015</v>
      </c>
      <c r="B84" t="s">
        <v>36</v>
      </c>
      <c r="C84">
        <v>1576.1</v>
      </c>
      <c r="D84">
        <v>114.6</v>
      </c>
      <c r="E84">
        <v>355.6</v>
      </c>
      <c r="F84">
        <v>245.7</v>
      </c>
      <c r="G84">
        <v>813.4</v>
      </c>
      <c r="H84">
        <f>MATCH(B84,{"January","February","March","April","May","June","July","August","September","October","November","December"},0)</f>
        <v>4</v>
      </c>
      <c r="I84" s="9">
        <f t="shared" si="4"/>
        <v>42095</v>
      </c>
      <c r="J84" t="str">
        <f t="shared" si="5"/>
        <v>Pre Covid</v>
      </c>
      <c r="K84">
        <v>119.7</v>
      </c>
      <c r="L84" t="e">
        <f t="shared" si="6"/>
        <v>#N/A</v>
      </c>
    </row>
    <row r="85" spans="1:12" x14ac:dyDescent="0.3">
      <c r="A85">
        <v>2015</v>
      </c>
      <c r="B85" t="s">
        <v>36</v>
      </c>
      <c r="C85">
        <v>1575.7</v>
      </c>
      <c r="D85">
        <v>117.1</v>
      </c>
      <c r="E85">
        <v>358.9</v>
      </c>
      <c r="F85">
        <v>242.8</v>
      </c>
      <c r="G85">
        <v>826.2</v>
      </c>
      <c r="H85">
        <f>MATCH(B85,{"January","February","March","April","May","June","July","August","September","October","November","December"},0)</f>
        <v>4</v>
      </c>
      <c r="I85" s="9">
        <f t="shared" si="4"/>
        <v>42095</v>
      </c>
      <c r="J85" t="str">
        <f t="shared" si="5"/>
        <v>Pre Covid</v>
      </c>
      <c r="K85">
        <v>120.7</v>
      </c>
      <c r="L85" t="e">
        <f t="shared" si="6"/>
        <v>#N/A</v>
      </c>
    </row>
    <row r="86" spans="1:12" x14ac:dyDescent="0.3">
      <c r="A86">
        <v>2015</v>
      </c>
      <c r="B86" t="s">
        <v>37</v>
      </c>
      <c r="C86">
        <v>1587.7</v>
      </c>
      <c r="D86">
        <v>119.4</v>
      </c>
      <c r="E86">
        <v>362</v>
      </c>
      <c r="F86">
        <v>243.4</v>
      </c>
      <c r="G86">
        <v>842.19999999999993</v>
      </c>
      <c r="H86">
        <f>MATCH(B86,{"January","February","March","April","May","June","July","August","September","October","November","December"},0)</f>
        <v>5</v>
      </c>
      <c r="I86" s="9">
        <f t="shared" si="4"/>
        <v>42125</v>
      </c>
      <c r="J86" t="str">
        <f t="shared" si="5"/>
        <v>Pre Covid</v>
      </c>
      <c r="K86">
        <v>122.4</v>
      </c>
      <c r="L86" t="e">
        <f t="shared" si="6"/>
        <v>#N/A</v>
      </c>
    </row>
    <row r="87" spans="1:12" x14ac:dyDescent="0.3">
      <c r="A87">
        <v>2015</v>
      </c>
      <c r="B87" t="s">
        <v>37</v>
      </c>
      <c r="C87">
        <v>1598.9</v>
      </c>
      <c r="D87">
        <v>114.9</v>
      </c>
      <c r="E87">
        <v>356.5</v>
      </c>
      <c r="F87">
        <v>247.3</v>
      </c>
      <c r="G87">
        <v>818.5</v>
      </c>
      <c r="H87">
        <f>MATCH(B87,{"January","February","March","April","May","June","July","August","September","October","November","December"},0)</f>
        <v>5</v>
      </c>
      <c r="I87" s="9">
        <f t="shared" si="4"/>
        <v>42125</v>
      </c>
      <c r="J87" t="str">
        <f t="shared" si="5"/>
        <v>Pre Covid</v>
      </c>
      <c r="K87">
        <v>120.7</v>
      </c>
      <c r="L87" t="e">
        <f t="shared" si="6"/>
        <v>#N/A</v>
      </c>
    </row>
    <row r="88" spans="1:12" x14ac:dyDescent="0.3">
      <c r="A88">
        <v>2015</v>
      </c>
      <c r="B88" t="s">
        <v>37</v>
      </c>
      <c r="C88">
        <v>1590.4</v>
      </c>
      <c r="D88">
        <v>117.7</v>
      </c>
      <c r="E88">
        <v>360.20000000000005</v>
      </c>
      <c r="F88">
        <v>244.2</v>
      </c>
      <c r="G88">
        <v>831.99999999999989</v>
      </c>
      <c r="H88">
        <f>MATCH(B88,{"January","February","March","April","May","June","July","August","September","October","November","December"},0)</f>
        <v>5</v>
      </c>
      <c r="I88" s="9">
        <f t="shared" si="4"/>
        <v>42125</v>
      </c>
      <c r="J88" t="str">
        <f t="shared" si="5"/>
        <v>Pre Covid</v>
      </c>
      <c r="K88">
        <v>121.6</v>
      </c>
      <c r="L88" t="e">
        <f t="shared" si="6"/>
        <v>#N/A</v>
      </c>
    </row>
    <row r="89" spans="1:12" x14ac:dyDescent="0.3">
      <c r="A89">
        <v>2015</v>
      </c>
      <c r="B89" t="s">
        <v>38</v>
      </c>
      <c r="C89">
        <v>1617.8999999999999</v>
      </c>
      <c r="D89">
        <v>120.4</v>
      </c>
      <c r="E89">
        <v>363.6</v>
      </c>
      <c r="F89">
        <v>246.1</v>
      </c>
      <c r="G89">
        <v>849.4</v>
      </c>
      <c r="H89">
        <f>MATCH(B89,{"January","February","March","April","May","June","July","August","September","October","November","December"},0)</f>
        <v>6</v>
      </c>
      <c r="I89" s="9">
        <f t="shared" si="4"/>
        <v>42156</v>
      </c>
      <c r="J89" t="str">
        <f t="shared" si="5"/>
        <v>Pre Covid</v>
      </c>
      <c r="K89">
        <v>124.1</v>
      </c>
      <c r="L89" t="e">
        <f t="shared" si="6"/>
        <v>#N/A</v>
      </c>
    </row>
    <row r="90" spans="1:12" x14ac:dyDescent="0.3">
      <c r="A90">
        <v>2015</v>
      </c>
      <c r="B90" t="s">
        <v>38</v>
      </c>
      <c r="C90">
        <v>1636.6</v>
      </c>
      <c r="D90">
        <v>115.4</v>
      </c>
      <c r="E90">
        <v>357.9</v>
      </c>
      <c r="F90">
        <v>248.3</v>
      </c>
      <c r="G90">
        <v>822.5</v>
      </c>
      <c r="H90">
        <f>MATCH(B90,{"January","February","March","April","May","June","July","August","September","October","November","December"},0)</f>
        <v>6</v>
      </c>
      <c r="I90" s="9">
        <f t="shared" si="4"/>
        <v>42156</v>
      </c>
      <c r="J90" t="str">
        <f t="shared" si="5"/>
        <v>Pre Covid</v>
      </c>
      <c r="K90">
        <v>121.7</v>
      </c>
      <c r="L90" t="e">
        <f t="shared" si="6"/>
        <v>#N/A</v>
      </c>
    </row>
    <row r="91" spans="1:12" x14ac:dyDescent="0.3">
      <c r="A91">
        <v>2015</v>
      </c>
      <c r="B91" t="s">
        <v>38</v>
      </c>
      <c r="C91">
        <v>1623.5</v>
      </c>
      <c r="D91">
        <v>118.5</v>
      </c>
      <c r="E91">
        <v>361.9</v>
      </c>
      <c r="F91">
        <v>246.1</v>
      </c>
      <c r="G91">
        <v>837.9</v>
      </c>
      <c r="H91">
        <f>MATCH(B91,{"January","February","March","April","May","June","July","August","September","October","November","December"},0)</f>
        <v>6</v>
      </c>
      <c r="I91" s="9">
        <f t="shared" si="4"/>
        <v>42156</v>
      </c>
      <c r="J91" t="str">
        <f t="shared" si="5"/>
        <v>Pre Covid</v>
      </c>
      <c r="K91">
        <v>123</v>
      </c>
      <c r="L91" t="e">
        <f t="shared" si="6"/>
        <v>#N/A</v>
      </c>
    </row>
    <row r="92" spans="1:12" x14ac:dyDescent="0.3">
      <c r="A92">
        <v>2015</v>
      </c>
      <c r="B92" t="s">
        <v>39</v>
      </c>
      <c r="C92">
        <v>1625.3</v>
      </c>
      <c r="D92">
        <v>120.8</v>
      </c>
      <c r="E92">
        <v>365.8</v>
      </c>
      <c r="F92">
        <v>247.4</v>
      </c>
      <c r="G92">
        <v>850.50000000000011</v>
      </c>
      <c r="H92">
        <f>MATCH(B92,{"January","February","March","April","May","June","July","August","September","October","November","December"},0)</f>
        <v>7</v>
      </c>
      <c r="I92" s="9">
        <f t="shared" si="4"/>
        <v>42186</v>
      </c>
      <c r="J92" t="str">
        <f t="shared" si="5"/>
        <v>Pre Covid</v>
      </c>
      <c r="K92">
        <v>124.7</v>
      </c>
      <c r="L92" t="e">
        <f t="shared" si="6"/>
        <v>#N/A</v>
      </c>
    </row>
    <row r="93" spans="1:12" x14ac:dyDescent="0.3">
      <c r="A93">
        <v>2015</v>
      </c>
      <c r="B93" t="s">
        <v>39</v>
      </c>
      <c r="C93">
        <v>1642.8999999999999</v>
      </c>
      <c r="D93">
        <v>116</v>
      </c>
      <c r="E93">
        <v>360.6</v>
      </c>
      <c r="F93">
        <v>249.7</v>
      </c>
      <c r="G93">
        <v>823.1</v>
      </c>
      <c r="H93">
        <f>MATCH(B93,{"January","February","March","April","May","June","July","August","September","October","November","December"},0)</f>
        <v>7</v>
      </c>
      <c r="I93" s="9">
        <f t="shared" si="4"/>
        <v>42186</v>
      </c>
      <c r="J93" t="str">
        <f t="shared" si="5"/>
        <v>Pre Covid</v>
      </c>
      <c r="K93">
        <v>122.4</v>
      </c>
      <c r="L93" t="e">
        <f t="shared" si="6"/>
        <v>#N/A</v>
      </c>
    </row>
    <row r="94" spans="1:12" x14ac:dyDescent="0.3">
      <c r="A94">
        <v>2015</v>
      </c>
      <c r="B94" t="s">
        <v>39</v>
      </c>
      <c r="C94">
        <v>1630.6000000000001</v>
      </c>
      <c r="D94">
        <v>119</v>
      </c>
      <c r="E94">
        <v>364.4</v>
      </c>
      <c r="F94">
        <v>247.60000000000002</v>
      </c>
      <c r="G94">
        <v>838.6</v>
      </c>
      <c r="H94">
        <f>MATCH(B94,{"January","February","March","April","May","June","July","August","September","October","November","December"},0)</f>
        <v>7</v>
      </c>
      <c r="I94" s="9">
        <f t="shared" si="4"/>
        <v>42186</v>
      </c>
      <c r="J94" t="str">
        <f t="shared" si="5"/>
        <v>Pre Covid</v>
      </c>
      <c r="K94">
        <v>123.6</v>
      </c>
      <c r="L94" t="e">
        <f t="shared" si="6"/>
        <v>#N/A</v>
      </c>
    </row>
    <row r="95" spans="1:12" x14ac:dyDescent="0.3">
      <c r="A95">
        <v>2015</v>
      </c>
      <c r="B95" t="s">
        <v>40</v>
      </c>
      <c r="C95">
        <v>1646.6</v>
      </c>
      <c r="D95">
        <v>121.1</v>
      </c>
      <c r="E95">
        <v>368.29999999999995</v>
      </c>
      <c r="F95">
        <v>248.6</v>
      </c>
      <c r="G95">
        <v>852.80000000000007</v>
      </c>
      <c r="H95">
        <f>MATCH(B95,{"January","February","March","April","May","June","July","August","September","October","November","December"},0)</f>
        <v>8</v>
      </c>
      <c r="I95" s="9">
        <f t="shared" si="4"/>
        <v>42217</v>
      </c>
      <c r="J95" t="str">
        <f t="shared" si="5"/>
        <v>Pre Covid</v>
      </c>
      <c r="K95">
        <v>126.1</v>
      </c>
      <c r="L95" t="e">
        <f t="shared" si="6"/>
        <v>#N/A</v>
      </c>
    </row>
    <row r="96" spans="1:12" x14ac:dyDescent="0.3">
      <c r="A96">
        <v>2015</v>
      </c>
      <c r="B96" t="s">
        <v>40</v>
      </c>
      <c r="C96">
        <v>1658.8999999999999</v>
      </c>
      <c r="D96">
        <v>116.6</v>
      </c>
      <c r="E96">
        <v>362.4</v>
      </c>
      <c r="F96">
        <v>251.39999999999998</v>
      </c>
      <c r="G96">
        <v>822.90000000000009</v>
      </c>
      <c r="H96">
        <f>MATCH(B96,{"January","February","March","April","May","June","July","August","September","October","November","December"},0)</f>
        <v>8</v>
      </c>
      <c r="I96" s="9">
        <f t="shared" si="4"/>
        <v>42217</v>
      </c>
      <c r="J96" t="str">
        <f t="shared" si="5"/>
        <v>Pre Covid</v>
      </c>
      <c r="K96">
        <v>123.2</v>
      </c>
      <c r="L96" t="e">
        <f t="shared" si="6"/>
        <v>#N/A</v>
      </c>
    </row>
    <row r="97" spans="1:12" x14ac:dyDescent="0.3">
      <c r="A97">
        <v>2015</v>
      </c>
      <c r="B97" t="s">
        <v>40</v>
      </c>
      <c r="C97">
        <v>1649.6</v>
      </c>
      <c r="D97">
        <v>119.4</v>
      </c>
      <c r="E97">
        <v>366.6</v>
      </c>
      <c r="F97">
        <v>249</v>
      </c>
      <c r="G97">
        <v>839.90000000000009</v>
      </c>
      <c r="H97">
        <f>MATCH(B97,{"January","February","March","April","May","June","July","August","September","October","November","December"},0)</f>
        <v>8</v>
      </c>
      <c r="I97" s="9">
        <f t="shared" si="4"/>
        <v>42217</v>
      </c>
      <c r="J97" t="str">
        <f t="shared" si="5"/>
        <v>Pre Covid</v>
      </c>
      <c r="K97">
        <v>124.8</v>
      </c>
      <c r="L97" t="e">
        <f t="shared" si="6"/>
        <v>#N/A</v>
      </c>
    </row>
    <row r="98" spans="1:12" x14ac:dyDescent="0.3">
      <c r="A98">
        <v>2015</v>
      </c>
      <c r="B98" t="s">
        <v>41</v>
      </c>
      <c r="C98">
        <v>1657.6000000000001</v>
      </c>
      <c r="D98">
        <v>121.4</v>
      </c>
      <c r="E98">
        <v>369.8</v>
      </c>
      <c r="F98">
        <v>250.6</v>
      </c>
      <c r="G98">
        <v>857.9</v>
      </c>
      <c r="H98">
        <f>MATCH(B98,{"January","February","March","April","May","June","July","August","September","October","November","December"},0)</f>
        <v>9</v>
      </c>
      <c r="I98" s="9">
        <f t="shared" si="4"/>
        <v>42248</v>
      </c>
      <c r="J98" t="str">
        <f t="shared" si="5"/>
        <v>Pre Covid</v>
      </c>
      <c r="K98">
        <v>127</v>
      </c>
      <c r="L98" t="e">
        <f t="shared" si="6"/>
        <v>#N/A</v>
      </c>
    </row>
    <row r="99" spans="1:12" x14ac:dyDescent="0.3">
      <c r="A99">
        <v>2015</v>
      </c>
      <c r="B99" t="s">
        <v>41</v>
      </c>
      <c r="C99">
        <v>1664.8</v>
      </c>
      <c r="D99">
        <v>117.1</v>
      </c>
      <c r="E99">
        <v>363.2</v>
      </c>
      <c r="F99">
        <v>252</v>
      </c>
      <c r="G99">
        <v>824.40000000000009</v>
      </c>
      <c r="H99">
        <f>MATCH(B99,{"January","February","March","April","May","June","July","August","September","October","November","December"},0)</f>
        <v>9</v>
      </c>
      <c r="I99" s="9">
        <f t="shared" si="4"/>
        <v>42248</v>
      </c>
      <c r="J99" t="str">
        <f t="shared" si="5"/>
        <v>Pre Covid</v>
      </c>
      <c r="K99">
        <v>123.5</v>
      </c>
      <c r="L99" t="e">
        <f t="shared" si="6"/>
        <v>#N/A</v>
      </c>
    </row>
    <row r="100" spans="1:12" x14ac:dyDescent="0.3">
      <c r="A100">
        <v>2015</v>
      </c>
      <c r="B100" t="s">
        <v>41</v>
      </c>
      <c r="C100">
        <v>1658.3000000000002</v>
      </c>
      <c r="D100">
        <v>119.8</v>
      </c>
      <c r="E100">
        <v>367.7</v>
      </c>
      <c r="F100">
        <v>250.3</v>
      </c>
      <c r="G100">
        <v>843.3</v>
      </c>
      <c r="H100">
        <f>MATCH(B100,{"January","February","March","April","May","June","July","August","September","October","November","December"},0)</f>
        <v>9</v>
      </c>
      <c r="I100" s="9">
        <f t="shared" si="4"/>
        <v>42248</v>
      </c>
      <c r="J100" t="str">
        <f t="shared" si="5"/>
        <v>Pre Covid</v>
      </c>
      <c r="K100">
        <v>125.4</v>
      </c>
      <c r="L100" t="e">
        <f t="shared" si="6"/>
        <v>#N/A</v>
      </c>
    </row>
    <row r="101" spans="1:12" x14ac:dyDescent="0.3">
      <c r="A101">
        <v>2015</v>
      </c>
      <c r="B101" t="s">
        <v>42</v>
      </c>
      <c r="C101">
        <v>1674.6</v>
      </c>
      <c r="D101">
        <v>122</v>
      </c>
      <c r="E101">
        <v>371.9</v>
      </c>
      <c r="F101">
        <v>251.6</v>
      </c>
      <c r="G101">
        <v>861.30000000000007</v>
      </c>
      <c r="H101">
        <f>MATCH(B101,{"January","February","March","April","May","June","July","August","September","October","November","December"},0)</f>
        <v>10</v>
      </c>
      <c r="I101" s="9">
        <f t="shared" si="4"/>
        <v>42278</v>
      </c>
      <c r="J101" t="str">
        <f t="shared" si="5"/>
        <v>Pre Covid</v>
      </c>
      <c r="K101">
        <v>127.7</v>
      </c>
      <c r="L101" t="e">
        <f t="shared" si="6"/>
        <v>#N/A</v>
      </c>
    </row>
    <row r="102" spans="1:12" x14ac:dyDescent="0.3">
      <c r="A102">
        <v>2015</v>
      </c>
      <c r="B102" t="s">
        <v>42</v>
      </c>
      <c r="C102">
        <v>1692.8000000000002</v>
      </c>
      <c r="D102">
        <v>117.7</v>
      </c>
      <c r="E102">
        <v>363.8</v>
      </c>
      <c r="F102">
        <v>253</v>
      </c>
      <c r="G102">
        <v>826.8</v>
      </c>
      <c r="H102">
        <f>MATCH(B102,{"January","February","March","April","May","June","July","August","September","October","November","December"},0)</f>
        <v>10</v>
      </c>
      <c r="I102" s="9">
        <f t="shared" si="4"/>
        <v>42278</v>
      </c>
      <c r="J102" t="str">
        <f t="shared" si="5"/>
        <v>Pre Covid</v>
      </c>
      <c r="K102">
        <v>124.2</v>
      </c>
      <c r="L102" t="e">
        <f t="shared" si="6"/>
        <v>#N/A</v>
      </c>
    </row>
    <row r="103" spans="1:12" x14ac:dyDescent="0.3">
      <c r="A103">
        <v>2015</v>
      </c>
      <c r="B103" t="s">
        <v>42</v>
      </c>
      <c r="C103">
        <v>1678.9999999999998</v>
      </c>
      <c r="D103">
        <v>120.4</v>
      </c>
      <c r="E103">
        <v>369.1</v>
      </c>
      <c r="F103">
        <v>251.2</v>
      </c>
      <c r="G103">
        <v>846.3</v>
      </c>
      <c r="H103">
        <f>MATCH(B103,{"January","February","March","April","May","June","July","August","September","October","November","December"},0)</f>
        <v>10</v>
      </c>
      <c r="I103" s="9">
        <f t="shared" si="4"/>
        <v>42278</v>
      </c>
      <c r="J103" t="str">
        <f t="shared" si="5"/>
        <v>Pre Covid</v>
      </c>
      <c r="K103">
        <v>126.1</v>
      </c>
      <c r="L103" t="e">
        <f t="shared" si="6"/>
        <v>#N/A</v>
      </c>
    </row>
    <row r="104" spans="1:12" x14ac:dyDescent="0.3">
      <c r="A104">
        <v>2015</v>
      </c>
      <c r="B104" t="s">
        <v>44</v>
      </c>
      <c r="C104">
        <v>1686.3</v>
      </c>
      <c r="D104">
        <v>122.6</v>
      </c>
      <c r="E104">
        <v>374.3</v>
      </c>
      <c r="F104">
        <v>253.1</v>
      </c>
      <c r="G104">
        <v>865.2</v>
      </c>
      <c r="H104">
        <f>MATCH(B104,{"January","February","March","April","May","June","July","August","September","October","November","December"},0)</f>
        <v>11</v>
      </c>
      <c r="I104" s="9">
        <f t="shared" si="4"/>
        <v>42309</v>
      </c>
      <c r="J104" t="str">
        <f t="shared" si="5"/>
        <v>Pre Covid</v>
      </c>
      <c r="K104">
        <v>128.30000000000001</v>
      </c>
      <c r="L104" t="e">
        <f t="shared" si="6"/>
        <v>#N/A</v>
      </c>
    </row>
    <row r="105" spans="1:12" x14ac:dyDescent="0.3">
      <c r="A105">
        <v>2015</v>
      </c>
      <c r="B105" t="s">
        <v>44</v>
      </c>
      <c r="C105">
        <v>1708.4999999999998</v>
      </c>
      <c r="D105">
        <v>118.1</v>
      </c>
      <c r="E105">
        <v>364.6</v>
      </c>
      <c r="F105">
        <v>255.5</v>
      </c>
      <c r="G105">
        <v>828.69999999999993</v>
      </c>
      <c r="H105">
        <f>MATCH(B105,{"January","February","March","April","May","June","July","August","September","October","November","December"},0)</f>
        <v>11</v>
      </c>
      <c r="I105" s="9">
        <f t="shared" si="4"/>
        <v>42309</v>
      </c>
      <c r="J105" t="str">
        <f t="shared" si="5"/>
        <v>Pre Covid</v>
      </c>
      <c r="K105">
        <v>124.6</v>
      </c>
      <c r="L105" t="e">
        <f t="shared" si="6"/>
        <v>#N/A</v>
      </c>
    </row>
    <row r="106" spans="1:12" x14ac:dyDescent="0.3">
      <c r="A106">
        <v>2015</v>
      </c>
      <c r="B106" t="s">
        <v>44</v>
      </c>
      <c r="C106">
        <v>1692.1</v>
      </c>
      <c r="D106">
        <v>120.9</v>
      </c>
      <c r="E106">
        <v>370.8</v>
      </c>
      <c r="F106">
        <v>252.8</v>
      </c>
      <c r="G106">
        <v>849.19999999999993</v>
      </c>
      <c r="H106">
        <f>MATCH(B106,{"January","February","March","April","May","June","July","August","September","October","November","December"},0)</f>
        <v>11</v>
      </c>
      <c r="I106" s="9">
        <f t="shared" si="4"/>
        <v>42309</v>
      </c>
      <c r="J106" t="str">
        <f t="shared" si="5"/>
        <v>Pre Covid</v>
      </c>
      <c r="K106">
        <v>126.6</v>
      </c>
      <c r="L106" t="e">
        <f t="shared" si="6"/>
        <v>#N/A</v>
      </c>
    </row>
    <row r="107" spans="1:12" x14ac:dyDescent="0.3">
      <c r="A107">
        <v>2015</v>
      </c>
      <c r="B107" t="s">
        <v>45</v>
      </c>
      <c r="C107">
        <v>1682.3000000000002</v>
      </c>
      <c r="D107">
        <v>123.1</v>
      </c>
      <c r="E107">
        <v>373.70000000000005</v>
      </c>
      <c r="F107">
        <v>254.7</v>
      </c>
      <c r="G107">
        <v>866.8</v>
      </c>
      <c r="H107">
        <f>MATCH(B107,{"January","February","March","April","May","June","July","August","September","October","November","December"},0)</f>
        <v>12</v>
      </c>
      <c r="I107" s="9">
        <f t="shared" si="4"/>
        <v>42339</v>
      </c>
      <c r="J107" t="str">
        <f t="shared" si="5"/>
        <v>Pre Covid</v>
      </c>
      <c r="K107">
        <v>127.9</v>
      </c>
      <c r="L107" t="e">
        <f t="shared" si="6"/>
        <v>#N/A</v>
      </c>
    </row>
    <row r="108" spans="1:12" x14ac:dyDescent="0.3">
      <c r="A108">
        <v>2015</v>
      </c>
      <c r="B108" t="s">
        <v>45</v>
      </c>
      <c r="C108">
        <v>1698.8</v>
      </c>
      <c r="D108">
        <v>118.6</v>
      </c>
      <c r="E108">
        <v>365</v>
      </c>
      <c r="F108">
        <v>256.29999999999995</v>
      </c>
      <c r="G108">
        <v>829.6</v>
      </c>
      <c r="H108">
        <f>MATCH(B108,{"January","February","March","April","May","June","July","August","September","October","November","December"},0)</f>
        <v>12</v>
      </c>
      <c r="I108" s="9">
        <f t="shared" si="4"/>
        <v>42339</v>
      </c>
      <c r="J108" t="str">
        <f t="shared" si="5"/>
        <v>Pre Covid</v>
      </c>
      <c r="K108">
        <v>124</v>
      </c>
      <c r="L108" t="e">
        <f t="shared" si="6"/>
        <v>#N/A</v>
      </c>
    </row>
    <row r="109" spans="1:12" x14ac:dyDescent="0.3">
      <c r="A109">
        <v>2015</v>
      </c>
      <c r="B109" t="s">
        <v>45</v>
      </c>
      <c r="C109">
        <v>1686.1000000000001</v>
      </c>
      <c r="D109">
        <v>121.4</v>
      </c>
      <c r="E109">
        <v>370.6</v>
      </c>
      <c r="F109">
        <v>254.1</v>
      </c>
      <c r="G109">
        <v>850.6</v>
      </c>
      <c r="H109">
        <f>MATCH(B109,{"January","February","March","April","May","June","July","August","September","October","November","December"},0)</f>
        <v>12</v>
      </c>
      <c r="I109" s="9">
        <f t="shared" si="4"/>
        <v>42339</v>
      </c>
      <c r="J109" t="str">
        <f t="shared" si="5"/>
        <v>Pre Covid</v>
      </c>
      <c r="K109">
        <v>126.1</v>
      </c>
      <c r="L109" t="e">
        <f t="shared" si="6"/>
        <v>#N/A</v>
      </c>
    </row>
    <row r="110" spans="1:12" x14ac:dyDescent="0.3">
      <c r="A110">
        <v>2016</v>
      </c>
      <c r="B110" t="s">
        <v>31</v>
      </c>
      <c r="C110">
        <v>1690.1000000000001</v>
      </c>
      <c r="D110">
        <v>123.7</v>
      </c>
      <c r="E110">
        <v>375.8</v>
      </c>
      <c r="F110">
        <v>255</v>
      </c>
      <c r="G110">
        <v>869.90000000000009</v>
      </c>
      <c r="H110">
        <f>MATCH(B110,{"January","February","March","April","May","June","July","August","September","October","November","December"},0)</f>
        <v>1</v>
      </c>
      <c r="I110" s="9">
        <f t="shared" si="4"/>
        <v>42370</v>
      </c>
      <c r="J110" t="str">
        <f t="shared" si="5"/>
        <v>Pre Covid</v>
      </c>
      <c r="K110">
        <v>128.1</v>
      </c>
      <c r="L110" t="e">
        <f t="shared" si="6"/>
        <v>#N/A</v>
      </c>
    </row>
    <row r="111" spans="1:12" x14ac:dyDescent="0.3">
      <c r="A111">
        <v>2016</v>
      </c>
      <c r="B111" t="s">
        <v>31</v>
      </c>
      <c r="C111">
        <v>1701.4</v>
      </c>
      <c r="D111">
        <v>119.1</v>
      </c>
      <c r="E111">
        <v>366.70000000000005</v>
      </c>
      <c r="F111">
        <v>258</v>
      </c>
      <c r="G111">
        <v>831.8</v>
      </c>
      <c r="H111">
        <f>MATCH(B111,{"January","February","March","April","May","June","July","August","September","October","November","December"},0)</f>
        <v>1</v>
      </c>
      <c r="I111" s="9">
        <f t="shared" si="4"/>
        <v>42370</v>
      </c>
      <c r="J111" t="str">
        <f t="shared" si="5"/>
        <v>Pre Covid</v>
      </c>
      <c r="K111">
        <v>124.2</v>
      </c>
      <c r="L111" t="e">
        <f t="shared" si="6"/>
        <v>#N/A</v>
      </c>
    </row>
    <row r="112" spans="1:12" x14ac:dyDescent="0.3">
      <c r="A112">
        <v>2016</v>
      </c>
      <c r="B112" t="s">
        <v>31</v>
      </c>
      <c r="C112">
        <v>1691.7</v>
      </c>
      <c r="D112">
        <v>122</v>
      </c>
      <c r="E112">
        <v>372.40000000000003</v>
      </c>
      <c r="F112">
        <v>255</v>
      </c>
      <c r="G112">
        <v>853.19999999999993</v>
      </c>
      <c r="H112">
        <f>MATCH(B112,{"January","February","March","April","May","June","July","August","September","October","November","December"},0)</f>
        <v>1</v>
      </c>
      <c r="I112" s="9">
        <f t="shared" si="4"/>
        <v>42370</v>
      </c>
      <c r="J112" t="str">
        <f t="shared" si="5"/>
        <v>Pre Covid</v>
      </c>
      <c r="K112">
        <v>126.3</v>
      </c>
      <c r="L112" t="e">
        <f t="shared" si="6"/>
        <v>#N/A</v>
      </c>
    </row>
    <row r="113" spans="1:12" x14ac:dyDescent="0.3">
      <c r="A113">
        <v>2016</v>
      </c>
      <c r="B113" t="s">
        <v>34</v>
      </c>
      <c r="C113">
        <v>1682.6</v>
      </c>
      <c r="D113">
        <v>124.3</v>
      </c>
      <c r="E113">
        <v>379</v>
      </c>
      <c r="F113">
        <v>256.7</v>
      </c>
      <c r="G113">
        <v>875.8</v>
      </c>
      <c r="H113">
        <f>MATCH(B113,{"January","February","March","April","May","June","July","August","September","October","November","December"},0)</f>
        <v>2</v>
      </c>
      <c r="I113" s="9">
        <f t="shared" si="4"/>
        <v>42401</v>
      </c>
      <c r="J113" t="str">
        <f t="shared" si="5"/>
        <v>Pre Covid</v>
      </c>
      <c r="K113">
        <v>127.9</v>
      </c>
      <c r="L113" t="e">
        <f t="shared" si="6"/>
        <v>#N/A</v>
      </c>
    </row>
    <row r="114" spans="1:12" x14ac:dyDescent="0.3">
      <c r="A114">
        <v>2016</v>
      </c>
      <c r="B114" t="s">
        <v>34</v>
      </c>
      <c r="C114">
        <v>1676.1</v>
      </c>
      <c r="D114">
        <v>119.5</v>
      </c>
      <c r="E114">
        <v>366.7</v>
      </c>
      <c r="F114">
        <v>258.8</v>
      </c>
      <c r="G114">
        <v>835.90000000000009</v>
      </c>
      <c r="H114">
        <f>MATCH(B114,{"January","February","March","April","May","June","July","August","September","October","November","December"},0)</f>
        <v>2</v>
      </c>
      <c r="I114" s="9">
        <f t="shared" si="4"/>
        <v>42401</v>
      </c>
      <c r="J114" t="str">
        <f t="shared" si="5"/>
        <v>Pre Covid</v>
      </c>
      <c r="K114">
        <v>123.8</v>
      </c>
      <c r="L114" t="e">
        <f t="shared" si="6"/>
        <v>#N/A</v>
      </c>
    </row>
    <row r="115" spans="1:12" x14ac:dyDescent="0.3">
      <c r="A115">
        <v>2016</v>
      </c>
      <c r="B115" t="s">
        <v>34</v>
      </c>
      <c r="C115">
        <v>1678.1</v>
      </c>
      <c r="D115">
        <v>122.5</v>
      </c>
      <c r="E115">
        <v>374.1</v>
      </c>
      <c r="F115">
        <v>256.2</v>
      </c>
      <c r="G115">
        <v>858.6</v>
      </c>
      <c r="H115">
        <f>MATCH(B115,{"January","February","March","April","May","June","July","August","September","October","November","December"},0)</f>
        <v>2</v>
      </c>
      <c r="I115" s="9">
        <f t="shared" si="4"/>
        <v>42401</v>
      </c>
      <c r="J115" t="str">
        <f t="shared" si="5"/>
        <v>Pre Covid</v>
      </c>
      <c r="K115">
        <v>126</v>
      </c>
      <c r="L115" t="e">
        <f t="shared" si="6"/>
        <v>#N/A</v>
      </c>
    </row>
    <row r="116" spans="1:12" x14ac:dyDescent="0.3">
      <c r="A116">
        <v>2016</v>
      </c>
      <c r="B116" t="s">
        <v>35</v>
      </c>
      <c r="C116">
        <v>1682.7000000000003</v>
      </c>
      <c r="D116">
        <v>124.8</v>
      </c>
      <c r="E116">
        <v>379.4</v>
      </c>
      <c r="F116">
        <v>257.5</v>
      </c>
      <c r="G116">
        <v>878.2</v>
      </c>
      <c r="H116">
        <f>MATCH(B116,{"January","February","March","April","May","June","July","August","September","October","November","December"},0)</f>
        <v>3</v>
      </c>
      <c r="I116" s="9">
        <f t="shared" si="4"/>
        <v>42430</v>
      </c>
      <c r="J116" t="str">
        <f t="shared" si="5"/>
        <v>Pre Covid</v>
      </c>
      <c r="K116">
        <v>128</v>
      </c>
      <c r="L116" t="e">
        <f t="shared" si="6"/>
        <v>#N/A</v>
      </c>
    </row>
    <row r="117" spans="1:12" x14ac:dyDescent="0.3">
      <c r="A117">
        <v>2016</v>
      </c>
      <c r="B117" t="s">
        <v>35</v>
      </c>
      <c r="C117">
        <v>1667.6000000000001</v>
      </c>
      <c r="D117">
        <v>119.7</v>
      </c>
      <c r="E117">
        <v>366.1</v>
      </c>
      <c r="F117">
        <v>259.7</v>
      </c>
      <c r="G117">
        <v>837.4</v>
      </c>
      <c r="H117">
        <f>MATCH(B117,{"January","February","March","April","May","June","July","August","September","October","November","December"},0)</f>
        <v>3</v>
      </c>
      <c r="I117" s="9">
        <f t="shared" si="4"/>
        <v>42430</v>
      </c>
      <c r="J117" t="str">
        <f t="shared" si="5"/>
        <v>Pre Covid</v>
      </c>
      <c r="K117">
        <v>123.8</v>
      </c>
      <c r="L117" t="e">
        <f t="shared" si="6"/>
        <v>#N/A</v>
      </c>
    </row>
    <row r="118" spans="1:12" x14ac:dyDescent="0.3">
      <c r="A118">
        <v>2016</v>
      </c>
      <c r="B118" t="s">
        <v>35</v>
      </c>
      <c r="C118">
        <v>1675.2</v>
      </c>
      <c r="D118">
        <v>122.9</v>
      </c>
      <c r="E118">
        <v>374.20000000000005</v>
      </c>
      <c r="F118">
        <v>257.10000000000002</v>
      </c>
      <c r="G118">
        <v>860.49999999999989</v>
      </c>
      <c r="H118">
        <f>MATCH(B118,{"January","February","March","April","May","June","July","August","September","October","November","December"},0)</f>
        <v>3</v>
      </c>
      <c r="I118" s="9">
        <f t="shared" si="4"/>
        <v>42430</v>
      </c>
      <c r="J118" t="str">
        <f t="shared" si="5"/>
        <v>Pre Covid</v>
      </c>
      <c r="K118">
        <v>126</v>
      </c>
      <c r="L118" t="e">
        <f t="shared" si="6"/>
        <v>#N/A</v>
      </c>
    </row>
    <row r="119" spans="1:12" x14ac:dyDescent="0.3">
      <c r="A119">
        <v>2016</v>
      </c>
      <c r="B119" t="s">
        <v>36</v>
      </c>
      <c r="C119">
        <v>1701.6000000000004</v>
      </c>
      <c r="D119">
        <v>125.2</v>
      </c>
      <c r="E119">
        <v>380.5</v>
      </c>
      <c r="F119">
        <v>258.7</v>
      </c>
      <c r="G119">
        <v>882.5</v>
      </c>
      <c r="H119">
        <f>MATCH(B119,{"January","February","March","April","May","June","July","August","September","October","November","December"},0)</f>
        <v>4</v>
      </c>
      <c r="I119" s="9">
        <f t="shared" si="4"/>
        <v>42461</v>
      </c>
      <c r="J119" t="str">
        <f t="shared" si="5"/>
        <v>Pre Covid</v>
      </c>
      <c r="K119">
        <v>129</v>
      </c>
      <c r="L119" t="e">
        <f t="shared" si="6"/>
        <v>#N/A</v>
      </c>
    </row>
    <row r="120" spans="1:12" x14ac:dyDescent="0.3">
      <c r="A120">
        <v>2016</v>
      </c>
      <c r="B120" t="s">
        <v>36</v>
      </c>
      <c r="C120">
        <v>1706.3</v>
      </c>
      <c r="D120">
        <v>120</v>
      </c>
      <c r="E120">
        <v>367.79999999999995</v>
      </c>
      <c r="F120">
        <v>261</v>
      </c>
      <c r="G120">
        <v>841.70000000000016</v>
      </c>
      <c r="H120">
        <f>MATCH(B120,{"January","February","March","April","May","June","July","August","September","October","November","December"},0)</f>
        <v>4</v>
      </c>
      <c r="I120" s="9">
        <f t="shared" si="4"/>
        <v>42461</v>
      </c>
      <c r="J120" t="str">
        <f t="shared" si="5"/>
        <v>Pre Covid</v>
      </c>
      <c r="K120">
        <v>125.3</v>
      </c>
      <c r="L120" t="e">
        <f t="shared" si="6"/>
        <v>#N/A</v>
      </c>
    </row>
    <row r="121" spans="1:12" x14ac:dyDescent="0.3">
      <c r="A121">
        <v>2016</v>
      </c>
      <c r="B121" t="s">
        <v>36</v>
      </c>
      <c r="C121">
        <v>1701.3</v>
      </c>
      <c r="D121">
        <v>123.2</v>
      </c>
      <c r="E121">
        <v>375.59999999999997</v>
      </c>
      <c r="F121">
        <v>258.2</v>
      </c>
      <c r="G121">
        <v>864.90000000000009</v>
      </c>
      <c r="H121">
        <f>MATCH(B121,{"January","February","March","April","May","June","July","August","September","October","November","December"},0)</f>
        <v>4</v>
      </c>
      <c r="I121" s="9">
        <f t="shared" si="4"/>
        <v>42461</v>
      </c>
      <c r="J121" t="str">
        <f t="shared" si="5"/>
        <v>Pre Covid</v>
      </c>
      <c r="K121">
        <v>127.3</v>
      </c>
      <c r="L121" t="e">
        <f t="shared" si="6"/>
        <v>#N/A</v>
      </c>
    </row>
    <row r="122" spans="1:12" x14ac:dyDescent="0.3">
      <c r="A122">
        <v>2016</v>
      </c>
      <c r="B122" t="s">
        <v>37</v>
      </c>
      <c r="C122">
        <v>1723.6999999999998</v>
      </c>
      <c r="D122">
        <v>125.8</v>
      </c>
      <c r="E122">
        <v>382.5</v>
      </c>
      <c r="F122">
        <v>259.60000000000002</v>
      </c>
      <c r="G122">
        <v>887.1</v>
      </c>
      <c r="H122">
        <f>MATCH(B122,{"January","February","March","April","May","June","July","August","September","October","November","December"},0)</f>
        <v>5</v>
      </c>
      <c r="I122" s="9">
        <f t="shared" si="4"/>
        <v>42491</v>
      </c>
      <c r="J122" t="str">
        <f t="shared" si="5"/>
        <v>Pre Covid</v>
      </c>
      <c r="K122">
        <v>130.30000000000001</v>
      </c>
      <c r="L122" t="e">
        <f t="shared" si="6"/>
        <v>#N/A</v>
      </c>
    </row>
    <row r="123" spans="1:12" x14ac:dyDescent="0.3">
      <c r="A123">
        <v>2016</v>
      </c>
      <c r="B123" t="s">
        <v>37</v>
      </c>
      <c r="C123">
        <v>1746.7999999999997</v>
      </c>
      <c r="D123">
        <v>120.3</v>
      </c>
      <c r="E123">
        <v>369</v>
      </c>
      <c r="F123">
        <v>262</v>
      </c>
      <c r="G123">
        <v>845.2</v>
      </c>
      <c r="H123">
        <f>MATCH(B123,{"January","February","March","April","May","June","July","August","September","October","November","December"},0)</f>
        <v>5</v>
      </c>
      <c r="I123" s="9">
        <f t="shared" si="4"/>
        <v>42491</v>
      </c>
      <c r="J123" t="str">
        <f t="shared" si="5"/>
        <v>Pre Covid</v>
      </c>
      <c r="K123">
        <v>126.6</v>
      </c>
      <c r="L123" t="e">
        <f t="shared" si="6"/>
        <v>#N/A</v>
      </c>
    </row>
    <row r="124" spans="1:12" x14ac:dyDescent="0.3">
      <c r="A124">
        <v>2016</v>
      </c>
      <c r="B124" t="s">
        <v>37</v>
      </c>
      <c r="C124">
        <v>1730.4</v>
      </c>
      <c r="D124">
        <v>123.7</v>
      </c>
      <c r="E124">
        <v>377.2</v>
      </c>
      <c r="F124">
        <v>259.2</v>
      </c>
      <c r="G124">
        <v>869.1</v>
      </c>
      <c r="H124">
        <f>MATCH(B124,{"January","February","March","April","May","June","July","August","September","October","November","December"},0)</f>
        <v>5</v>
      </c>
      <c r="I124" s="9">
        <f t="shared" si="4"/>
        <v>42491</v>
      </c>
      <c r="J124" t="str">
        <f t="shared" si="5"/>
        <v>Pre Covid</v>
      </c>
      <c r="K124">
        <v>128.6</v>
      </c>
      <c r="L124" t="e">
        <f t="shared" si="6"/>
        <v>#N/A</v>
      </c>
    </row>
    <row r="125" spans="1:12" x14ac:dyDescent="0.3">
      <c r="A125">
        <v>2016</v>
      </c>
      <c r="B125" t="s">
        <v>38</v>
      </c>
      <c r="C125">
        <v>1748.6</v>
      </c>
      <c r="D125">
        <v>126.2</v>
      </c>
      <c r="E125">
        <v>383.7</v>
      </c>
      <c r="F125">
        <v>261.29999999999995</v>
      </c>
      <c r="G125">
        <v>892.29999999999984</v>
      </c>
      <c r="H125">
        <f>MATCH(B125,{"January","February","March","April","May","June","July","August","September","October","November","December"},0)</f>
        <v>6</v>
      </c>
      <c r="I125" s="9">
        <f t="shared" si="4"/>
        <v>42522</v>
      </c>
      <c r="J125" t="str">
        <f t="shared" si="5"/>
        <v>Pre Covid</v>
      </c>
      <c r="K125">
        <v>131.9</v>
      </c>
      <c r="L125" t="e">
        <f t="shared" si="6"/>
        <v>#N/A</v>
      </c>
    </row>
    <row r="126" spans="1:12" x14ac:dyDescent="0.3">
      <c r="A126">
        <v>2016</v>
      </c>
      <c r="B126" t="s">
        <v>38</v>
      </c>
      <c r="C126">
        <v>1787.0000000000002</v>
      </c>
      <c r="D126">
        <v>120.6</v>
      </c>
      <c r="E126">
        <v>370.3</v>
      </c>
      <c r="F126">
        <v>262.60000000000002</v>
      </c>
      <c r="G126">
        <v>849.19999999999993</v>
      </c>
      <c r="H126">
        <f>MATCH(B126,{"January","February","March","April","May","June","July","August","September","October","November","December"},0)</f>
        <v>6</v>
      </c>
      <c r="I126" s="9">
        <f t="shared" si="4"/>
        <v>42522</v>
      </c>
      <c r="J126" t="str">
        <f t="shared" si="5"/>
        <v>Pre Covid</v>
      </c>
      <c r="K126">
        <v>128.1</v>
      </c>
      <c r="L126" t="e">
        <f t="shared" si="6"/>
        <v>#N/A</v>
      </c>
    </row>
    <row r="127" spans="1:12" x14ac:dyDescent="0.3">
      <c r="A127">
        <v>2016</v>
      </c>
      <c r="B127" t="s">
        <v>38</v>
      </c>
      <c r="C127">
        <v>1760.6</v>
      </c>
      <c r="D127">
        <v>124.1</v>
      </c>
      <c r="E127">
        <v>378.5</v>
      </c>
      <c r="F127">
        <v>260.39999999999998</v>
      </c>
      <c r="G127">
        <v>873.6</v>
      </c>
      <c r="H127">
        <f>MATCH(B127,{"January","February","March","April","May","June","July","August","September","October","November","December"},0)</f>
        <v>6</v>
      </c>
      <c r="I127" s="9">
        <f t="shared" si="4"/>
        <v>42522</v>
      </c>
      <c r="J127" t="str">
        <f t="shared" si="5"/>
        <v>Pre Covid</v>
      </c>
      <c r="K127">
        <v>130.1</v>
      </c>
      <c r="L127" t="e">
        <f t="shared" si="6"/>
        <v>#N/A</v>
      </c>
    </row>
    <row r="128" spans="1:12" x14ac:dyDescent="0.3">
      <c r="A128">
        <v>2016</v>
      </c>
      <c r="B128" t="s">
        <v>39</v>
      </c>
      <c r="C128">
        <v>1770.2999999999997</v>
      </c>
      <c r="D128">
        <v>126.7</v>
      </c>
      <c r="E128">
        <v>385.4</v>
      </c>
      <c r="F128">
        <v>263.2</v>
      </c>
      <c r="G128">
        <v>896.99999999999989</v>
      </c>
      <c r="H128">
        <f>MATCH(B128,{"January","February","March","April","May","June","July","August","September","October","November","December"},0)</f>
        <v>7</v>
      </c>
      <c r="I128" s="9">
        <f t="shared" si="4"/>
        <v>42552</v>
      </c>
      <c r="J128" t="str">
        <f t="shared" si="5"/>
        <v>Pre Covid</v>
      </c>
      <c r="K128">
        <v>133</v>
      </c>
      <c r="L128" t="e">
        <f t="shared" si="6"/>
        <v>#N/A</v>
      </c>
    </row>
    <row r="129" spans="1:12" x14ac:dyDescent="0.3">
      <c r="A129">
        <v>2016</v>
      </c>
      <c r="B129" t="s">
        <v>39</v>
      </c>
      <c r="C129">
        <v>1811.5000000000002</v>
      </c>
      <c r="D129">
        <v>120.9</v>
      </c>
      <c r="E129">
        <v>372.70000000000005</v>
      </c>
      <c r="F129">
        <v>263.2</v>
      </c>
      <c r="G129">
        <v>851</v>
      </c>
      <c r="H129">
        <f>MATCH(B129,{"January","February","March","April","May","June","July","August","September","October","November","December"},0)</f>
        <v>7</v>
      </c>
      <c r="I129" s="9">
        <f t="shared" si="4"/>
        <v>42552</v>
      </c>
      <c r="J129" t="str">
        <f t="shared" si="5"/>
        <v>Pre Covid</v>
      </c>
      <c r="K129">
        <v>129</v>
      </c>
      <c r="L129" t="e">
        <f t="shared" si="6"/>
        <v>#N/A</v>
      </c>
    </row>
    <row r="130" spans="1:12" x14ac:dyDescent="0.3">
      <c r="A130">
        <v>2016</v>
      </c>
      <c r="B130" t="s">
        <v>39</v>
      </c>
      <c r="C130">
        <v>1783.5</v>
      </c>
      <c r="D130">
        <v>124.5</v>
      </c>
      <c r="E130">
        <v>380.6</v>
      </c>
      <c r="F130">
        <v>261.70000000000005</v>
      </c>
      <c r="G130">
        <v>877</v>
      </c>
      <c r="H130">
        <f>MATCH(B130,{"January","February","March","April","May","June","July","August","September","October","November","December"},0)</f>
        <v>7</v>
      </c>
      <c r="I130" s="9">
        <f t="shared" si="4"/>
        <v>42552</v>
      </c>
      <c r="J130" t="str">
        <f t="shared" si="5"/>
        <v>Pre Covid</v>
      </c>
      <c r="K130">
        <v>131.1</v>
      </c>
      <c r="L130" t="e">
        <f t="shared" si="6"/>
        <v>#N/A</v>
      </c>
    </row>
    <row r="131" spans="1:12" x14ac:dyDescent="0.3">
      <c r="A131">
        <v>2016</v>
      </c>
      <c r="B131" t="s">
        <v>40</v>
      </c>
      <c r="C131">
        <v>1777.4999999999998</v>
      </c>
      <c r="D131">
        <v>127</v>
      </c>
      <c r="E131">
        <v>388.29999999999995</v>
      </c>
      <c r="F131">
        <v>264.39999999999998</v>
      </c>
      <c r="G131">
        <v>900.7</v>
      </c>
      <c r="H131">
        <f>MATCH(B131,{"January","February","March","April","May","June","July","August","September","October","November","December"},0)</f>
        <v>8</v>
      </c>
      <c r="I131" s="9">
        <f t="shared" ref="I131:I194" si="7">DATE(A131,H131,1)</f>
        <v>42583</v>
      </c>
      <c r="J131" t="str">
        <f t="shared" ref="J131:J194" si="8">IF(I131&lt;DATE(2020,3,1),"Pre Covid","Post Covid")</f>
        <v>Pre Covid</v>
      </c>
      <c r="K131">
        <v>133.5</v>
      </c>
      <c r="L131" t="e">
        <f t="shared" ref="L131:L194" si="9">IF(I131=DATE(2020,3,1),MAX(K131:K502),NA())</f>
        <v>#N/A</v>
      </c>
    </row>
    <row r="132" spans="1:12" x14ac:dyDescent="0.3">
      <c r="A132">
        <v>2016</v>
      </c>
      <c r="B132" t="s">
        <v>40</v>
      </c>
      <c r="C132">
        <v>1783.9999999999995</v>
      </c>
      <c r="D132">
        <v>121.2</v>
      </c>
      <c r="E132">
        <v>373.5</v>
      </c>
      <c r="F132">
        <v>264.2</v>
      </c>
      <c r="G132">
        <v>852.09999999999991</v>
      </c>
      <c r="H132">
        <f>MATCH(B132,{"January","February","March","April","May","June","July","August","September","October","November","December"},0)</f>
        <v>8</v>
      </c>
      <c r="I132" s="9">
        <f t="shared" si="7"/>
        <v>42583</v>
      </c>
      <c r="J132" t="str">
        <f t="shared" si="8"/>
        <v>Pre Covid</v>
      </c>
      <c r="K132">
        <v>128.4</v>
      </c>
      <c r="L132" t="e">
        <f t="shared" si="9"/>
        <v>#N/A</v>
      </c>
    </row>
    <row r="133" spans="1:12" x14ac:dyDescent="0.3">
      <c r="A133">
        <v>2016</v>
      </c>
      <c r="B133" t="s">
        <v>40</v>
      </c>
      <c r="C133">
        <v>1777.9</v>
      </c>
      <c r="D133">
        <v>124.8</v>
      </c>
      <c r="E133">
        <v>382.59999999999997</v>
      </c>
      <c r="F133">
        <v>262.89999999999998</v>
      </c>
      <c r="G133">
        <v>879.6</v>
      </c>
      <c r="H133">
        <f>MATCH(B133,{"January","February","March","April","May","June","July","August","September","October","November","December"},0)</f>
        <v>8</v>
      </c>
      <c r="I133" s="9">
        <f t="shared" si="7"/>
        <v>42583</v>
      </c>
      <c r="J133" t="str">
        <f t="shared" si="8"/>
        <v>Pre Covid</v>
      </c>
      <c r="K133">
        <v>131.1</v>
      </c>
      <c r="L133" t="e">
        <f t="shared" si="9"/>
        <v>#N/A</v>
      </c>
    </row>
    <row r="134" spans="1:12" x14ac:dyDescent="0.3">
      <c r="A134">
        <v>2016</v>
      </c>
      <c r="B134" t="s">
        <v>41</v>
      </c>
      <c r="C134">
        <v>1770.7</v>
      </c>
      <c r="D134">
        <v>127.8</v>
      </c>
      <c r="E134">
        <v>389.8</v>
      </c>
      <c r="F134">
        <v>265.60000000000002</v>
      </c>
      <c r="G134">
        <v>905.59999999999991</v>
      </c>
      <c r="H134">
        <f>MATCH(B134,{"January","February","March","April","May","June","July","August","September","October","November","December"},0)</f>
        <v>9</v>
      </c>
      <c r="I134" s="9">
        <f t="shared" si="7"/>
        <v>42614</v>
      </c>
      <c r="J134" t="str">
        <f t="shared" si="8"/>
        <v>Pre Covid</v>
      </c>
      <c r="K134">
        <v>133.4</v>
      </c>
      <c r="L134" t="e">
        <f t="shared" si="9"/>
        <v>#N/A</v>
      </c>
    </row>
    <row r="135" spans="1:12" x14ac:dyDescent="0.3">
      <c r="A135">
        <v>2016</v>
      </c>
      <c r="B135" t="s">
        <v>41</v>
      </c>
      <c r="C135">
        <v>1756.3999999999996</v>
      </c>
      <c r="D135">
        <v>121.4</v>
      </c>
      <c r="E135">
        <v>374.29999999999995</v>
      </c>
      <c r="F135">
        <v>264.7</v>
      </c>
      <c r="G135">
        <v>855.80000000000007</v>
      </c>
      <c r="H135">
        <f>MATCH(B135,{"January","February","March","April","May","June","July","August","September","October","November","December"},0)</f>
        <v>9</v>
      </c>
      <c r="I135" s="9">
        <f t="shared" si="7"/>
        <v>42614</v>
      </c>
      <c r="J135" t="str">
        <f t="shared" si="8"/>
        <v>Pre Covid</v>
      </c>
      <c r="K135">
        <v>128</v>
      </c>
      <c r="L135" t="e">
        <f t="shared" si="9"/>
        <v>#N/A</v>
      </c>
    </row>
    <row r="136" spans="1:12" x14ac:dyDescent="0.3">
      <c r="A136">
        <v>2016</v>
      </c>
      <c r="B136" t="s">
        <v>41</v>
      </c>
      <c r="C136">
        <v>1763.6999999999998</v>
      </c>
      <c r="D136">
        <v>125.4</v>
      </c>
      <c r="E136">
        <v>383.8</v>
      </c>
      <c r="F136">
        <v>263.89999999999998</v>
      </c>
      <c r="G136">
        <v>884.09999999999991</v>
      </c>
      <c r="H136">
        <f>MATCH(B136,{"January","February","March","April","May","June","July","August","September","October","November","December"},0)</f>
        <v>9</v>
      </c>
      <c r="I136" s="9">
        <f t="shared" si="7"/>
        <v>42614</v>
      </c>
      <c r="J136" t="str">
        <f t="shared" si="8"/>
        <v>Pre Covid</v>
      </c>
      <c r="K136">
        <v>130.9</v>
      </c>
      <c r="L136" t="e">
        <f t="shared" si="9"/>
        <v>#N/A</v>
      </c>
    </row>
    <row r="137" spans="1:12" x14ac:dyDescent="0.3">
      <c r="A137">
        <v>2016</v>
      </c>
      <c r="B137" t="s">
        <v>42</v>
      </c>
      <c r="C137">
        <v>1771.8000000000002</v>
      </c>
      <c r="D137">
        <v>128.69999999999999</v>
      </c>
      <c r="E137">
        <v>391.5</v>
      </c>
      <c r="F137">
        <v>267.39999999999998</v>
      </c>
      <c r="G137">
        <v>911</v>
      </c>
      <c r="H137">
        <f>MATCH(B137,{"January","February","March","April","May","June","July","August","September","October","November","December"},0)</f>
        <v>10</v>
      </c>
      <c r="I137" s="9">
        <f t="shared" si="7"/>
        <v>42644</v>
      </c>
      <c r="J137" t="str">
        <f t="shared" si="8"/>
        <v>Pre Covid</v>
      </c>
      <c r="K137">
        <v>133.80000000000001</v>
      </c>
      <c r="L137" t="e">
        <f t="shared" si="9"/>
        <v>#N/A</v>
      </c>
    </row>
    <row r="138" spans="1:12" x14ac:dyDescent="0.3">
      <c r="A138">
        <v>2016</v>
      </c>
      <c r="B138" t="s">
        <v>42</v>
      </c>
      <c r="C138">
        <v>1762.8999999999999</v>
      </c>
      <c r="D138">
        <v>121.8</v>
      </c>
      <c r="E138">
        <v>375.79999999999995</v>
      </c>
      <c r="F138">
        <v>265.5</v>
      </c>
      <c r="G138">
        <v>857.99999999999989</v>
      </c>
      <c r="H138">
        <f>MATCH(B138,{"January","February","March","April","May","June","July","August","September","October","November","December"},0)</f>
        <v>10</v>
      </c>
      <c r="I138" s="9">
        <f t="shared" si="7"/>
        <v>42644</v>
      </c>
      <c r="J138" t="str">
        <f t="shared" si="8"/>
        <v>Pre Covid</v>
      </c>
      <c r="K138">
        <v>128.6</v>
      </c>
      <c r="L138" t="e">
        <f t="shared" si="9"/>
        <v>#N/A</v>
      </c>
    </row>
    <row r="139" spans="1:12" x14ac:dyDescent="0.3">
      <c r="A139">
        <v>2016</v>
      </c>
      <c r="B139" t="s">
        <v>42</v>
      </c>
      <c r="C139">
        <v>1766.7999999999995</v>
      </c>
      <c r="D139">
        <v>126.1</v>
      </c>
      <c r="E139">
        <v>385.4</v>
      </c>
      <c r="F139">
        <v>265.3</v>
      </c>
      <c r="G139">
        <v>888.2</v>
      </c>
      <c r="H139">
        <f>MATCH(B139,{"January","February","March","April","May","June","July","August","September","October","November","December"},0)</f>
        <v>10</v>
      </c>
      <c r="I139" s="9">
        <f t="shared" si="7"/>
        <v>42644</v>
      </c>
      <c r="J139" t="str">
        <f t="shared" si="8"/>
        <v>Pre Covid</v>
      </c>
      <c r="K139">
        <v>131.4</v>
      </c>
      <c r="L139" t="e">
        <f t="shared" si="9"/>
        <v>#N/A</v>
      </c>
    </row>
    <row r="140" spans="1:12" x14ac:dyDescent="0.3">
      <c r="A140">
        <v>2016</v>
      </c>
      <c r="B140" t="s">
        <v>44</v>
      </c>
      <c r="C140">
        <v>1764.6</v>
      </c>
      <c r="D140">
        <v>129.1</v>
      </c>
      <c r="E140">
        <v>393.09999999999997</v>
      </c>
      <c r="F140">
        <v>268.10000000000002</v>
      </c>
      <c r="G140">
        <v>913.5</v>
      </c>
      <c r="H140">
        <f>MATCH(B140,{"January","February","March","April","May","June","July","August","September","October","November","December"},0)</f>
        <v>11</v>
      </c>
      <c r="I140" s="9">
        <f t="shared" si="7"/>
        <v>42675</v>
      </c>
      <c r="J140" t="str">
        <f t="shared" si="8"/>
        <v>Pre Covid</v>
      </c>
      <c r="K140">
        <v>133.6</v>
      </c>
      <c r="L140" t="e">
        <f t="shared" si="9"/>
        <v>#N/A</v>
      </c>
    </row>
    <row r="141" spans="1:12" x14ac:dyDescent="0.3">
      <c r="A141">
        <v>2016</v>
      </c>
      <c r="B141" t="s">
        <v>44</v>
      </c>
      <c r="C141">
        <v>1755.2</v>
      </c>
      <c r="D141">
        <v>122.1</v>
      </c>
      <c r="E141">
        <v>377.4</v>
      </c>
      <c r="F141">
        <v>266</v>
      </c>
      <c r="G141">
        <v>860.89999999999986</v>
      </c>
      <c r="H141">
        <f>MATCH(B141,{"January","February","March","April","May","June","July","August","September","October","November","December"},0)</f>
        <v>11</v>
      </c>
      <c r="I141" s="9">
        <f t="shared" si="7"/>
        <v>42675</v>
      </c>
      <c r="J141" t="str">
        <f t="shared" si="8"/>
        <v>Pre Covid</v>
      </c>
      <c r="K141">
        <v>128.5</v>
      </c>
      <c r="L141" t="e">
        <f t="shared" si="9"/>
        <v>#N/A</v>
      </c>
    </row>
    <row r="142" spans="1:12" x14ac:dyDescent="0.3">
      <c r="A142">
        <v>2016</v>
      </c>
      <c r="B142" t="s">
        <v>44</v>
      </c>
      <c r="C142">
        <v>1759.8</v>
      </c>
      <c r="D142">
        <v>126.4</v>
      </c>
      <c r="E142">
        <v>386.9</v>
      </c>
      <c r="F142">
        <v>266</v>
      </c>
      <c r="G142">
        <v>890.80000000000007</v>
      </c>
      <c r="H142">
        <f>MATCH(B142,{"January","February","March","April","May","June","July","August","September","October","November","December"},0)</f>
        <v>11</v>
      </c>
      <c r="I142" s="9">
        <f t="shared" si="7"/>
        <v>42675</v>
      </c>
      <c r="J142" t="str">
        <f t="shared" si="8"/>
        <v>Pre Covid</v>
      </c>
      <c r="K142">
        <v>131.19999999999999</v>
      </c>
      <c r="L142" t="e">
        <f t="shared" si="9"/>
        <v>#N/A</v>
      </c>
    </row>
    <row r="143" spans="1:12" x14ac:dyDescent="0.3">
      <c r="A143">
        <v>2016</v>
      </c>
      <c r="B143" t="s">
        <v>45</v>
      </c>
      <c r="C143">
        <v>1749.1</v>
      </c>
      <c r="D143">
        <v>129.69999999999999</v>
      </c>
      <c r="E143">
        <v>394.7</v>
      </c>
      <c r="F143">
        <v>269.7</v>
      </c>
      <c r="G143">
        <v>915</v>
      </c>
      <c r="H143">
        <f>MATCH(B143,{"January","February","March","April","May","June","July","August","September","October","November","December"},0)</f>
        <v>12</v>
      </c>
      <c r="I143" s="9">
        <f t="shared" si="7"/>
        <v>42705</v>
      </c>
      <c r="J143" t="str">
        <f t="shared" si="8"/>
        <v>Pre Covid</v>
      </c>
      <c r="K143">
        <v>132.80000000000001</v>
      </c>
      <c r="L143" t="e">
        <f t="shared" si="9"/>
        <v>#N/A</v>
      </c>
    </row>
    <row r="144" spans="1:12" x14ac:dyDescent="0.3">
      <c r="A144">
        <v>2016</v>
      </c>
      <c r="B144" t="s">
        <v>45</v>
      </c>
      <c r="C144">
        <v>1729.8</v>
      </c>
      <c r="D144">
        <v>122.3</v>
      </c>
      <c r="E144">
        <v>378.6</v>
      </c>
      <c r="F144">
        <v>266.8</v>
      </c>
      <c r="G144">
        <v>861</v>
      </c>
      <c r="H144">
        <f>MATCH(B144,{"January","February","March","April","May","June","July","August","September","October","November","December"},0)</f>
        <v>12</v>
      </c>
      <c r="I144" s="9">
        <f t="shared" si="7"/>
        <v>42705</v>
      </c>
      <c r="J144" t="str">
        <f t="shared" si="8"/>
        <v>Pre Covid</v>
      </c>
      <c r="K144">
        <v>127.6</v>
      </c>
      <c r="L144" t="e">
        <f t="shared" si="9"/>
        <v>#N/A</v>
      </c>
    </row>
    <row r="145" spans="1:12" x14ac:dyDescent="0.3">
      <c r="A145">
        <v>2016</v>
      </c>
      <c r="B145" t="s">
        <v>45</v>
      </c>
      <c r="C145">
        <v>1740.7</v>
      </c>
      <c r="D145">
        <v>126.9</v>
      </c>
      <c r="E145">
        <v>388.2</v>
      </c>
      <c r="F145">
        <v>267.3</v>
      </c>
      <c r="G145">
        <v>891.7</v>
      </c>
      <c r="H145">
        <f>MATCH(B145,{"January","February","March","April","May","June","July","August","September","October","November","December"},0)</f>
        <v>12</v>
      </c>
      <c r="I145" s="9">
        <f t="shared" si="7"/>
        <v>42705</v>
      </c>
      <c r="J145" t="str">
        <f t="shared" si="8"/>
        <v>Pre Covid</v>
      </c>
      <c r="K145">
        <v>130.4</v>
      </c>
      <c r="L145" t="e">
        <f t="shared" si="9"/>
        <v>#N/A</v>
      </c>
    </row>
    <row r="146" spans="1:12" x14ac:dyDescent="0.3">
      <c r="A146">
        <v>2017</v>
      </c>
      <c r="B146" t="s">
        <v>31</v>
      </c>
      <c r="C146">
        <v>1737.3000000000002</v>
      </c>
      <c r="D146">
        <v>129.9</v>
      </c>
      <c r="E146">
        <v>396.29999999999995</v>
      </c>
      <c r="F146">
        <v>270.10000000000002</v>
      </c>
      <c r="G146">
        <v>917.7</v>
      </c>
      <c r="H146">
        <f>MATCH(B146,{"January","February","March","April","May","June","July","August","September","October","November","December"},0)</f>
        <v>1</v>
      </c>
      <c r="I146" s="9">
        <f t="shared" si="7"/>
        <v>42736</v>
      </c>
      <c r="J146" t="str">
        <f t="shared" si="8"/>
        <v>Pre Covid</v>
      </c>
      <c r="K146">
        <v>132.4</v>
      </c>
      <c r="L146" t="e">
        <f t="shared" si="9"/>
        <v>#N/A</v>
      </c>
    </row>
    <row r="147" spans="1:12" x14ac:dyDescent="0.3">
      <c r="A147">
        <v>2017</v>
      </c>
      <c r="B147" t="s">
        <v>31</v>
      </c>
      <c r="C147">
        <v>1713.2</v>
      </c>
      <c r="D147">
        <v>122.6</v>
      </c>
      <c r="E147">
        <v>380</v>
      </c>
      <c r="F147">
        <v>267.60000000000002</v>
      </c>
      <c r="G147">
        <v>864.80000000000007</v>
      </c>
      <c r="H147">
        <f>MATCH(B147,{"January","February","March","April","May","June","July","August","September","October","November","December"},0)</f>
        <v>1</v>
      </c>
      <c r="I147" s="9">
        <f t="shared" si="7"/>
        <v>42736</v>
      </c>
      <c r="J147" t="str">
        <f t="shared" si="8"/>
        <v>Pre Covid</v>
      </c>
      <c r="K147">
        <v>127.8</v>
      </c>
      <c r="L147" t="e">
        <f t="shared" si="9"/>
        <v>#N/A</v>
      </c>
    </row>
    <row r="148" spans="1:12" x14ac:dyDescent="0.3">
      <c r="A148">
        <v>2017</v>
      </c>
      <c r="B148" t="s">
        <v>31</v>
      </c>
      <c r="C148">
        <v>1727.2999999999995</v>
      </c>
      <c r="D148">
        <v>127.1</v>
      </c>
      <c r="E148">
        <v>389.7</v>
      </c>
      <c r="F148">
        <v>268</v>
      </c>
      <c r="G148">
        <v>894.9</v>
      </c>
      <c r="H148">
        <f>MATCH(B148,{"January","February","March","April","May","June","July","August","September","October","November","December"},0)</f>
        <v>1</v>
      </c>
      <c r="I148" s="9">
        <f t="shared" si="7"/>
        <v>42736</v>
      </c>
      <c r="J148" t="str">
        <f t="shared" si="8"/>
        <v>Pre Covid</v>
      </c>
      <c r="K148">
        <v>130.30000000000001</v>
      </c>
      <c r="L148" t="e">
        <f t="shared" si="9"/>
        <v>#N/A</v>
      </c>
    </row>
    <row r="149" spans="1:12" x14ac:dyDescent="0.3">
      <c r="A149">
        <v>2017</v>
      </c>
      <c r="B149" t="s">
        <v>34</v>
      </c>
      <c r="C149">
        <v>1734.5000000000002</v>
      </c>
      <c r="D149">
        <v>130.1</v>
      </c>
      <c r="E149">
        <v>398.6</v>
      </c>
      <c r="F149">
        <v>271.39999999999998</v>
      </c>
      <c r="G149">
        <v>920.2</v>
      </c>
      <c r="H149">
        <f>MATCH(B149,{"January","February","March","April","May","June","July","August","September","October","November","December"},0)</f>
        <v>2</v>
      </c>
      <c r="I149" s="9">
        <f t="shared" si="7"/>
        <v>42767</v>
      </c>
      <c r="J149" t="str">
        <f t="shared" si="8"/>
        <v>Pre Covid</v>
      </c>
      <c r="K149">
        <v>132.6</v>
      </c>
      <c r="L149" t="e">
        <f t="shared" si="9"/>
        <v>#N/A</v>
      </c>
    </row>
    <row r="150" spans="1:12" x14ac:dyDescent="0.3">
      <c r="A150">
        <v>2017</v>
      </c>
      <c r="B150" t="s">
        <v>34</v>
      </c>
      <c r="C150">
        <v>1705.3000000000002</v>
      </c>
      <c r="D150">
        <v>122.9</v>
      </c>
      <c r="E150">
        <v>382.1</v>
      </c>
      <c r="F150">
        <v>268.5</v>
      </c>
      <c r="G150">
        <v>867.2</v>
      </c>
      <c r="H150">
        <f>MATCH(B150,{"January","February","March","April","May","June","July","August","September","October","November","December"},0)</f>
        <v>2</v>
      </c>
      <c r="I150" s="9">
        <f t="shared" si="7"/>
        <v>42767</v>
      </c>
      <c r="J150" t="str">
        <f t="shared" si="8"/>
        <v>Pre Covid</v>
      </c>
      <c r="K150">
        <v>128.19999999999999</v>
      </c>
      <c r="L150" t="e">
        <f t="shared" si="9"/>
        <v>#N/A</v>
      </c>
    </row>
    <row r="151" spans="1:12" x14ac:dyDescent="0.3">
      <c r="A151">
        <v>2017</v>
      </c>
      <c r="B151" t="s">
        <v>34</v>
      </c>
      <c r="C151">
        <v>1722.3000000000002</v>
      </c>
      <c r="D151">
        <v>127.4</v>
      </c>
      <c r="E151">
        <v>391.79999999999995</v>
      </c>
      <c r="F151">
        <v>269</v>
      </c>
      <c r="G151">
        <v>897.5</v>
      </c>
      <c r="H151">
        <f>MATCH(B151,{"January","February","March","April","May","June","July","August","September","October","November","December"},0)</f>
        <v>2</v>
      </c>
      <c r="I151" s="9">
        <f t="shared" si="7"/>
        <v>42767</v>
      </c>
      <c r="J151" t="str">
        <f t="shared" si="8"/>
        <v>Pre Covid</v>
      </c>
      <c r="K151">
        <v>130.6</v>
      </c>
      <c r="L151" t="e">
        <f t="shared" si="9"/>
        <v>#N/A</v>
      </c>
    </row>
    <row r="152" spans="1:12" x14ac:dyDescent="0.3">
      <c r="A152">
        <v>2017</v>
      </c>
      <c r="B152" t="s">
        <v>35</v>
      </c>
      <c r="C152">
        <v>1728.5000000000002</v>
      </c>
      <c r="D152">
        <v>130.6</v>
      </c>
      <c r="E152">
        <v>400.49999999999994</v>
      </c>
      <c r="F152">
        <v>272.5</v>
      </c>
      <c r="G152">
        <v>923.19999999999982</v>
      </c>
      <c r="H152">
        <f>MATCH(B152,{"January","February","March","April","May","June","July","August","September","October","November","December"},0)</f>
        <v>3</v>
      </c>
      <c r="I152" s="9">
        <f t="shared" si="7"/>
        <v>42795</v>
      </c>
      <c r="J152" t="str">
        <f t="shared" si="8"/>
        <v>Pre Covid</v>
      </c>
      <c r="K152">
        <v>132.80000000000001</v>
      </c>
      <c r="L152" t="e">
        <f t="shared" si="9"/>
        <v>#N/A</v>
      </c>
    </row>
    <row r="153" spans="1:12" x14ac:dyDescent="0.3">
      <c r="A153">
        <v>2017</v>
      </c>
      <c r="B153" t="s">
        <v>35</v>
      </c>
      <c r="C153">
        <v>1705.6999999999998</v>
      </c>
      <c r="D153">
        <v>123.1</v>
      </c>
      <c r="E153">
        <v>384.7</v>
      </c>
      <c r="F153">
        <v>269.89999999999998</v>
      </c>
      <c r="G153">
        <v>868.70000000000016</v>
      </c>
      <c r="H153">
        <f>MATCH(B153,{"January","February","March","April","May","June","July","August","September","October","November","December"},0)</f>
        <v>3</v>
      </c>
      <c r="I153" s="9">
        <f t="shared" si="7"/>
        <v>42795</v>
      </c>
      <c r="J153" t="str">
        <f t="shared" si="8"/>
        <v>Pre Covid</v>
      </c>
      <c r="K153">
        <v>128.69999999999999</v>
      </c>
      <c r="L153" t="e">
        <f t="shared" si="9"/>
        <v>#N/A</v>
      </c>
    </row>
    <row r="154" spans="1:12" x14ac:dyDescent="0.3">
      <c r="A154">
        <v>2017</v>
      </c>
      <c r="B154" t="s">
        <v>35</v>
      </c>
      <c r="C154">
        <v>1718.9</v>
      </c>
      <c r="D154">
        <v>127.8</v>
      </c>
      <c r="E154">
        <v>394</v>
      </c>
      <c r="F154">
        <v>270.10000000000002</v>
      </c>
      <c r="G154">
        <v>899.7</v>
      </c>
      <c r="H154">
        <f>MATCH(B154,{"January","February","March","April","May","June","July","August","September","October","November","December"},0)</f>
        <v>3</v>
      </c>
      <c r="I154" s="9">
        <f t="shared" si="7"/>
        <v>42795</v>
      </c>
      <c r="J154" t="str">
        <f t="shared" si="8"/>
        <v>Pre Covid</v>
      </c>
      <c r="K154">
        <v>130.9</v>
      </c>
      <c r="L154" t="e">
        <f t="shared" si="9"/>
        <v>#N/A</v>
      </c>
    </row>
    <row r="155" spans="1:12" x14ac:dyDescent="0.3">
      <c r="A155">
        <v>2017</v>
      </c>
      <c r="B155" t="s">
        <v>36</v>
      </c>
      <c r="C155">
        <v>1726.3</v>
      </c>
      <c r="D155">
        <v>131</v>
      </c>
      <c r="E155">
        <v>402.4</v>
      </c>
      <c r="F155">
        <v>272.70000000000005</v>
      </c>
      <c r="G155">
        <v>925.50000000000023</v>
      </c>
      <c r="H155">
        <f>MATCH(B155,{"January","February","March","April","May","June","July","August","September","October","November","December"},0)</f>
        <v>4</v>
      </c>
      <c r="I155" s="9">
        <f t="shared" si="7"/>
        <v>42826</v>
      </c>
      <c r="J155" t="str">
        <f t="shared" si="8"/>
        <v>Pre Covid</v>
      </c>
      <c r="K155">
        <v>132.9</v>
      </c>
      <c r="L155" t="e">
        <f t="shared" si="9"/>
        <v>#N/A</v>
      </c>
    </row>
    <row r="156" spans="1:12" x14ac:dyDescent="0.3">
      <c r="A156">
        <v>2017</v>
      </c>
      <c r="B156" t="s">
        <v>36</v>
      </c>
      <c r="C156">
        <v>1708.1</v>
      </c>
      <c r="D156">
        <v>123.4</v>
      </c>
      <c r="E156">
        <v>386.7</v>
      </c>
      <c r="F156">
        <v>270.60000000000002</v>
      </c>
      <c r="G156">
        <v>869.2</v>
      </c>
      <c r="H156">
        <f>MATCH(B156,{"January","February","March","April","May","June","July","August","September","October","November","December"},0)</f>
        <v>4</v>
      </c>
      <c r="I156" s="9">
        <f t="shared" si="7"/>
        <v>42826</v>
      </c>
      <c r="J156" t="str">
        <f t="shared" si="8"/>
        <v>Pre Covid</v>
      </c>
      <c r="K156">
        <v>129.1</v>
      </c>
      <c r="L156" t="e">
        <f t="shared" si="9"/>
        <v>#N/A</v>
      </c>
    </row>
    <row r="157" spans="1:12" x14ac:dyDescent="0.3">
      <c r="A157">
        <v>2017</v>
      </c>
      <c r="B157" t="s">
        <v>36</v>
      </c>
      <c r="C157">
        <v>1718.4</v>
      </c>
      <c r="D157">
        <v>128.1</v>
      </c>
      <c r="E157">
        <v>396</v>
      </c>
      <c r="F157">
        <v>270.5</v>
      </c>
      <c r="G157">
        <v>901.30000000000007</v>
      </c>
      <c r="H157">
        <f>MATCH(B157,{"January","February","March","April","May","June","July","August","September","October","November","December"},0)</f>
        <v>4</v>
      </c>
      <c r="I157" s="9">
        <f t="shared" si="7"/>
        <v>42826</v>
      </c>
      <c r="J157" t="str">
        <f t="shared" si="8"/>
        <v>Pre Covid</v>
      </c>
      <c r="K157">
        <v>131.1</v>
      </c>
      <c r="L157" t="e">
        <f t="shared" si="9"/>
        <v>#N/A</v>
      </c>
    </row>
    <row r="158" spans="1:12" x14ac:dyDescent="0.3">
      <c r="A158">
        <v>2017</v>
      </c>
      <c r="B158" t="s">
        <v>37</v>
      </c>
      <c r="C158">
        <v>1727.4999999999995</v>
      </c>
      <c r="D158">
        <v>131.4</v>
      </c>
      <c r="E158">
        <v>403.40000000000003</v>
      </c>
      <c r="F158">
        <v>274.89999999999998</v>
      </c>
      <c r="G158">
        <v>927.5</v>
      </c>
      <c r="H158">
        <f>MATCH(B158,{"January","February","March","April","May","June","July","August","September","October","November","December"},0)</f>
        <v>5</v>
      </c>
      <c r="I158" s="9">
        <f t="shared" si="7"/>
        <v>42856</v>
      </c>
      <c r="J158" t="str">
        <f t="shared" si="8"/>
        <v>Pre Covid</v>
      </c>
      <c r="K158">
        <v>133.30000000000001</v>
      </c>
      <c r="L158" t="e">
        <f t="shared" si="9"/>
        <v>#N/A</v>
      </c>
    </row>
    <row r="159" spans="1:12" x14ac:dyDescent="0.3">
      <c r="A159">
        <v>2017</v>
      </c>
      <c r="B159" t="s">
        <v>37</v>
      </c>
      <c r="C159">
        <v>1709.6</v>
      </c>
      <c r="D159">
        <v>123.6</v>
      </c>
      <c r="E159">
        <v>386</v>
      </c>
      <c r="F159">
        <v>271.10000000000002</v>
      </c>
      <c r="G159">
        <v>870.3</v>
      </c>
      <c r="H159">
        <f>MATCH(B159,{"January","February","March","April","May","June","July","August","September","October","November","December"},0)</f>
        <v>5</v>
      </c>
      <c r="I159" s="9">
        <f t="shared" si="7"/>
        <v>42856</v>
      </c>
      <c r="J159" t="str">
        <f t="shared" si="8"/>
        <v>Pre Covid</v>
      </c>
      <c r="K159">
        <v>129.30000000000001</v>
      </c>
      <c r="L159" t="e">
        <f t="shared" si="9"/>
        <v>#N/A</v>
      </c>
    </row>
    <row r="160" spans="1:12" x14ac:dyDescent="0.3">
      <c r="A160">
        <v>2017</v>
      </c>
      <c r="B160" t="s">
        <v>37</v>
      </c>
      <c r="C160">
        <v>1719.6000000000001</v>
      </c>
      <c r="D160">
        <v>128.4</v>
      </c>
      <c r="E160">
        <v>396.3</v>
      </c>
      <c r="F160">
        <v>271.89999999999998</v>
      </c>
      <c r="G160">
        <v>902.7</v>
      </c>
      <c r="H160">
        <f>MATCH(B160,{"January","February","March","April","May","June","July","August","September","October","November","December"},0)</f>
        <v>5</v>
      </c>
      <c r="I160" s="9">
        <f t="shared" si="7"/>
        <v>42856</v>
      </c>
      <c r="J160" t="str">
        <f t="shared" si="8"/>
        <v>Pre Covid</v>
      </c>
      <c r="K160">
        <v>131.4</v>
      </c>
      <c r="L160" t="e">
        <f t="shared" si="9"/>
        <v>#N/A</v>
      </c>
    </row>
    <row r="161" spans="1:12" x14ac:dyDescent="0.3">
      <c r="A161">
        <v>2017</v>
      </c>
      <c r="B161" t="s">
        <v>38</v>
      </c>
      <c r="C161">
        <v>1738.8000000000002</v>
      </c>
      <c r="D161">
        <v>131.30000000000001</v>
      </c>
      <c r="E161">
        <v>403.1</v>
      </c>
      <c r="F161">
        <v>275.60000000000002</v>
      </c>
      <c r="G161">
        <v>929.9</v>
      </c>
      <c r="H161">
        <f>MATCH(B161,{"January","February","March","April","May","June","July","August","September","October","November","December"},0)</f>
        <v>6</v>
      </c>
      <c r="I161" s="9">
        <f t="shared" si="7"/>
        <v>42887</v>
      </c>
      <c r="J161" t="str">
        <f t="shared" si="8"/>
        <v>Pre Covid</v>
      </c>
      <c r="K161">
        <v>133.9</v>
      </c>
      <c r="L161" t="e">
        <f t="shared" si="9"/>
        <v>#N/A</v>
      </c>
    </row>
    <row r="162" spans="1:12" x14ac:dyDescent="0.3">
      <c r="A162">
        <v>2017</v>
      </c>
      <c r="B162" t="s">
        <v>38</v>
      </c>
      <c r="C162">
        <v>1731.0000000000002</v>
      </c>
      <c r="D162">
        <v>123.8</v>
      </c>
      <c r="E162">
        <v>384.70000000000005</v>
      </c>
      <c r="F162">
        <v>271.5</v>
      </c>
      <c r="G162">
        <v>870.80000000000007</v>
      </c>
      <c r="H162">
        <f>MATCH(B162,{"January","February","March","April","May","June","July","August","September","October","November","December"},0)</f>
        <v>6</v>
      </c>
      <c r="I162" s="9">
        <f t="shared" si="7"/>
        <v>42887</v>
      </c>
      <c r="J162" t="str">
        <f t="shared" si="8"/>
        <v>Pre Covid</v>
      </c>
      <c r="K162">
        <v>129.9</v>
      </c>
      <c r="L162" t="e">
        <f t="shared" si="9"/>
        <v>#N/A</v>
      </c>
    </row>
    <row r="163" spans="1:12" x14ac:dyDescent="0.3">
      <c r="A163">
        <v>2017</v>
      </c>
      <c r="B163" t="s">
        <v>38</v>
      </c>
      <c r="C163">
        <v>1734.7</v>
      </c>
      <c r="D163">
        <v>128.5</v>
      </c>
      <c r="E163">
        <v>395.6</v>
      </c>
      <c r="F163">
        <v>272.39999999999998</v>
      </c>
      <c r="G163">
        <v>904.3</v>
      </c>
      <c r="H163">
        <f>MATCH(B163,{"January","February","March","April","May","June","July","August","September","October","November","December"},0)</f>
        <v>6</v>
      </c>
      <c r="I163" s="9">
        <f t="shared" si="7"/>
        <v>42887</v>
      </c>
      <c r="J163" t="str">
        <f t="shared" si="8"/>
        <v>Pre Covid</v>
      </c>
      <c r="K163">
        <v>132</v>
      </c>
      <c r="L163" t="e">
        <f t="shared" si="9"/>
        <v>#N/A</v>
      </c>
    </row>
    <row r="164" spans="1:12" x14ac:dyDescent="0.3">
      <c r="A164">
        <v>2017</v>
      </c>
      <c r="B164" t="s">
        <v>39</v>
      </c>
      <c r="C164">
        <v>1772.9</v>
      </c>
      <c r="D164">
        <v>132.1</v>
      </c>
      <c r="E164">
        <v>406.5</v>
      </c>
      <c r="F164">
        <v>278</v>
      </c>
      <c r="G164">
        <v>934.1</v>
      </c>
      <c r="H164">
        <f>MATCH(B164,{"January","February","March","April","May","June","July","August","September","October","November","December"},0)</f>
        <v>7</v>
      </c>
      <c r="I164" s="9">
        <f t="shared" si="7"/>
        <v>42917</v>
      </c>
      <c r="J164" t="str">
        <f t="shared" si="8"/>
        <v>Pre Covid</v>
      </c>
      <c r="K164">
        <v>136.19999999999999</v>
      </c>
      <c r="L164" t="e">
        <f t="shared" si="9"/>
        <v>#N/A</v>
      </c>
    </row>
    <row r="165" spans="1:12" x14ac:dyDescent="0.3">
      <c r="A165">
        <v>2017</v>
      </c>
      <c r="B165" t="s">
        <v>39</v>
      </c>
      <c r="C165">
        <v>1768.1</v>
      </c>
      <c r="D165">
        <v>125</v>
      </c>
      <c r="E165">
        <v>387.8</v>
      </c>
      <c r="F165">
        <v>274</v>
      </c>
      <c r="G165">
        <v>871.50000000000011</v>
      </c>
      <c r="H165">
        <f>MATCH(B165,{"January","February","March","April","May","June","July","August","September","October","November","December"},0)</f>
        <v>7</v>
      </c>
      <c r="I165" s="9">
        <f t="shared" si="7"/>
        <v>42917</v>
      </c>
      <c r="J165" t="str">
        <f t="shared" si="8"/>
        <v>Pre Covid</v>
      </c>
      <c r="K165">
        <v>131.80000000000001</v>
      </c>
      <c r="L165" t="e">
        <f t="shared" si="9"/>
        <v>#N/A</v>
      </c>
    </row>
    <row r="166" spans="1:12" x14ac:dyDescent="0.3">
      <c r="A166">
        <v>2017</v>
      </c>
      <c r="B166" t="s">
        <v>39</v>
      </c>
      <c r="C166">
        <v>1769.3999999999999</v>
      </c>
      <c r="D166">
        <v>129.4</v>
      </c>
      <c r="E166">
        <v>398.8</v>
      </c>
      <c r="F166">
        <v>274.79999999999995</v>
      </c>
      <c r="G166">
        <v>907.1</v>
      </c>
      <c r="H166">
        <f>MATCH(B166,{"January","February","March","April","May","June","July","August","September","October","November","December"},0)</f>
        <v>7</v>
      </c>
      <c r="I166" s="9">
        <f t="shared" si="7"/>
        <v>42917</v>
      </c>
      <c r="J166" t="str">
        <f t="shared" si="8"/>
        <v>Pre Covid</v>
      </c>
      <c r="K166">
        <v>134.19999999999999</v>
      </c>
      <c r="L166" t="e">
        <f t="shared" si="9"/>
        <v>#N/A</v>
      </c>
    </row>
    <row r="167" spans="1:12" x14ac:dyDescent="0.3">
      <c r="A167">
        <v>2017</v>
      </c>
      <c r="B167" t="s">
        <v>40</v>
      </c>
      <c r="C167">
        <v>1792.4999999999998</v>
      </c>
      <c r="D167">
        <v>133</v>
      </c>
      <c r="E167">
        <v>411</v>
      </c>
      <c r="F167">
        <v>280.5</v>
      </c>
      <c r="G167">
        <v>941.69999999999982</v>
      </c>
      <c r="H167">
        <f>MATCH(B167,{"January","February","March","April","May","June","July","August","September","October","November","December"},0)</f>
        <v>8</v>
      </c>
      <c r="I167" s="9">
        <f t="shared" si="7"/>
        <v>42948</v>
      </c>
      <c r="J167" t="str">
        <f t="shared" si="8"/>
        <v>Pre Covid</v>
      </c>
      <c r="K167">
        <v>137.80000000000001</v>
      </c>
      <c r="L167" t="e">
        <f t="shared" si="9"/>
        <v>#N/A</v>
      </c>
    </row>
    <row r="168" spans="1:12" x14ac:dyDescent="0.3">
      <c r="A168">
        <v>2017</v>
      </c>
      <c r="B168" t="s">
        <v>40</v>
      </c>
      <c r="C168">
        <v>1772.9999999999998</v>
      </c>
      <c r="D168">
        <v>125.7</v>
      </c>
      <c r="E168">
        <v>389</v>
      </c>
      <c r="F168">
        <v>276.2</v>
      </c>
      <c r="G168">
        <v>877.8</v>
      </c>
      <c r="H168">
        <f>MATCH(B168,{"January","February","March","April","May","June","July","August","September","October","November","December"},0)</f>
        <v>8</v>
      </c>
      <c r="I168" s="9">
        <f t="shared" si="7"/>
        <v>42948</v>
      </c>
      <c r="J168" t="str">
        <f t="shared" si="8"/>
        <v>Pre Covid</v>
      </c>
      <c r="K168">
        <v>132.69999999999999</v>
      </c>
      <c r="L168" t="e">
        <f t="shared" si="9"/>
        <v>#N/A</v>
      </c>
    </row>
    <row r="169" spans="1:12" x14ac:dyDescent="0.3">
      <c r="A169">
        <v>2017</v>
      </c>
      <c r="B169" t="s">
        <v>40</v>
      </c>
      <c r="C169">
        <v>1783.8</v>
      </c>
      <c r="D169">
        <v>130.19999999999999</v>
      </c>
      <c r="E169">
        <v>401.80000000000007</v>
      </c>
      <c r="F169">
        <v>277.10000000000002</v>
      </c>
      <c r="G169">
        <v>914</v>
      </c>
      <c r="H169">
        <f>MATCH(B169,{"January","February","March","April","May","June","July","August","September","October","November","December"},0)</f>
        <v>8</v>
      </c>
      <c r="I169" s="9">
        <f t="shared" si="7"/>
        <v>42948</v>
      </c>
      <c r="J169" t="str">
        <f t="shared" si="8"/>
        <v>Pre Covid</v>
      </c>
      <c r="K169">
        <v>135.4</v>
      </c>
      <c r="L169" t="e">
        <f t="shared" si="9"/>
        <v>#N/A</v>
      </c>
    </row>
    <row r="170" spans="1:12" x14ac:dyDescent="0.3">
      <c r="A170">
        <v>2017</v>
      </c>
      <c r="B170" t="s">
        <v>41</v>
      </c>
      <c r="C170">
        <v>1784.3</v>
      </c>
      <c r="D170">
        <v>133.4</v>
      </c>
      <c r="E170">
        <v>412.70000000000005</v>
      </c>
      <c r="F170">
        <v>282.10000000000002</v>
      </c>
      <c r="G170">
        <v>947.10000000000014</v>
      </c>
      <c r="H170">
        <f>MATCH(B170,{"January","February","March","April","May","June","July","August","September","October","November","December"},0)</f>
        <v>9</v>
      </c>
      <c r="I170" s="9">
        <f t="shared" si="7"/>
        <v>42979</v>
      </c>
      <c r="J170" t="str">
        <f t="shared" si="8"/>
        <v>Pre Covid</v>
      </c>
      <c r="K170">
        <v>137.6</v>
      </c>
      <c r="L170" t="e">
        <f t="shared" si="9"/>
        <v>#N/A</v>
      </c>
    </row>
    <row r="171" spans="1:12" x14ac:dyDescent="0.3">
      <c r="A171">
        <v>2017</v>
      </c>
      <c r="B171" t="s">
        <v>41</v>
      </c>
      <c r="C171">
        <v>1749.7</v>
      </c>
      <c r="D171">
        <v>126.1</v>
      </c>
      <c r="E171">
        <v>392.19999999999993</v>
      </c>
      <c r="F171">
        <v>278.10000000000002</v>
      </c>
      <c r="G171">
        <v>882.6</v>
      </c>
      <c r="H171">
        <f>MATCH(B171,{"January","February","March","April","May","June","July","August","September","October","November","December"},0)</f>
        <v>9</v>
      </c>
      <c r="I171" s="9">
        <f t="shared" si="7"/>
        <v>42979</v>
      </c>
      <c r="J171" t="str">
        <f t="shared" si="8"/>
        <v>Pre Covid</v>
      </c>
      <c r="K171">
        <v>132.4</v>
      </c>
      <c r="L171" t="e">
        <f t="shared" si="9"/>
        <v>#N/A</v>
      </c>
    </row>
    <row r="172" spans="1:12" x14ac:dyDescent="0.3">
      <c r="A172">
        <v>2017</v>
      </c>
      <c r="B172" t="s">
        <v>41</v>
      </c>
      <c r="C172">
        <v>1769.9999999999998</v>
      </c>
      <c r="D172">
        <v>130.6</v>
      </c>
      <c r="E172">
        <v>404.1</v>
      </c>
      <c r="F172">
        <v>278.70000000000005</v>
      </c>
      <c r="G172">
        <v>919.3</v>
      </c>
      <c r="H172">
        <f>MATCH(B172,{"January","February","March","April","May","June","July","August","September","October","November","December"},0)</f>
        <v>9</v>
      </c>
      <c r="I172" s="9">
        <f t="shared" si="7"/>
        <v>42979</v>
      </c>
      <c r="J172" t="str">
        <f t="shared" si="8"/>
        <v>Pre Covid</v>
      </c>
      <c r="K172">
        <v>135.19999999999999</v>
      </c>
      <c r="L172" t="e">
        <f t="shared" si="9"/>
        <v>#N/A</v>
      </c>
    </row>
    <row r="173" spans="1:12" x14ac:dyDescent="0.3">
      <c r="A173">
        <v>2017</v>
      </c>
      <c r="B173" t="s">
        <v>42</v>
      </c>
      <c r="C173">
        <v>1790.8999999999999</v>
      </c>
      <c r="D173">
        <v>134.19999999999999</v>
      </c>
      <c r="E173">
        <v>415.5</v>
      </c>
      <c r="F173">
        <v>283.5</v>
      </c>
      <c r="G173">
        <v>951.5</v>
      </c>
      <c r="H173">
        <f>MATCH(B173,{"January","February","March","April","May","June","July","August","September","October","November","December"},0)</f>
        <v>10</v>
      </c>
      <c r="I173" s="9">
        <f t="shared" si="7"/>
        <v>43009</v>
      </c>
      <c r="J173" t="str">
        <f t="shared" si="8"/>
        <v>Pre Covid</v>
      </c>
      <c r="K173">
        <v>138.30000000000001</v>
      </c>
      <c r="L173" t="e">
        <f t="shared" si="9"/>
        <v>#N/A</v>
      </c>
    </row>
    <row r="174" spans="1:12" x14ac:dyDescent="0.3">
      <c r="A174">
        <v>2017</v>
      </c>
      <c r="B174" t="s">
        <v>42</v>
      </c>
      <c r="C174">
        <v>1765.6999999999998</v>
      </c>
      <c r="D174">
        <v>126.6</v>
      </c>
      <c r="E174">
        <v>396.2</v>
      </c>
      <c r="F174">
        <v>279.39999999999998</v>
      </c>
      <c r="G174">
        <v>883.9</v>
      </c>
      <c r="H174">
        <f>MATCH(B174,{"January","February","March","April","May","June","July","August","September","October","November","December"},0)</f>
        <v>10</v>
      </c>
      <c r="I174" s="9">
        <f t="shared" si="7"/>
        <v>43009</v>
      </c>
      <c r="J174" t="str">
        <f t="shared" si="8"/>
        <v>Pre Covid</v>
      </c>
      <c r="K174">
        <v>133.5</v>
      </c>
      <c r="L174" t="e">
        <f t="shared" si="9"/>
        <v>#N/A</v>
      </c>
    </row>
    <row r="175" spans="1:12" x14ac:dyDescent="0.3">
      <c r="A175">
        <v>2017</v>
      </c>
      <c r="B175" t="s">
        <v>42</v>
      </c>
      <c r="C175">
        <v>1779.6999999999998</v>
      </c>
      <c r="D175">
        <v>131.30000000000001</v>
      </c>
      <c r="E175">
        <v>407.4</v>
      </c>
      <c r="F175">
        <v>280</v>
      </c>
      <c r="G175">
        <v>922.2</v>
      </c>
      <c r="H175">
        <f>MATCH(B175,{"January","February","March","April","May","June","July","August","September","October","November","December"},0)</f>
        <v>10</v>
      </c>
      <c r="I175" s="9">
        <f t="shared" si="7"/>
        <v>43009</v>
      </c>
      <c r="J175" t="str">
        <f t="shared" si="8"/>
        <v>Pre Covid</v>
      </c>
      <c r="K175">
        <v>136.1</v>
      </c>
      <c r="L175" t="e">
        <f t="shared" si="9"/>
        <v>#N/A</v>
      </c>
    </row>
    <row r="176" spans="1:12" x14ac:dyDescent="0.3">
      <c r="A176">
        <v>2017</v>
      </c>
      <c r="B176" t="s">
        <v>44</v>
      </c>
      <c r="C176">
        <v>1817.7000000000003</v>
      </c>
      <c r="D176">
        <v>135.80000000000001</v>
      </c>
      <c r="E176">
        <v>421.2</v>
      </c>
      <c r="F176">
        <v>285.79999999999995</v>
      </c>
      <c r="G176">
        <v>957.8</v>
      </c>
      <c r="H176">
        <f>MATCH(B176,{"January","February","March","April","May","June","July","August","September","October","November","December"},0)</f>
        <v>11</v>
      </c>
      <c r="I176" s="9">
        <f t="shared" si="7"/>
        <v>43040</v>
      </c>
      <c r="J176" t="str">
        <f t="shared" si="8"/>
        <v>Pre Covid</v>
      </c>
      <c r="K176">
        <v>140</v>
      </c>
      <c r="L176" t="e">
        <f t="shared" si="9"/>
        <v>#N/A</v>
      </c>
    </row>
    <row r="177" spans="1:12" x14ac:dyDescent="0.3">
      <c r="A177">
        <v>2017</v>
      </c>
      <c r="B177" t="s">
        <v>44</v>
      </c>
      <c r="C177">
        <v>1796.7</v>
      </c>
      <c r="D177">
        <v>127.4</v>
      </c>
      <c r="E177">
        <v>400.9</v>
      </c>
      <c r="F177">
        <v>281.29999999999995</v>
      </c>
      <c r="G177">
        <v>887.8</v>
      </c>
      <c r="H177">
        <f>MATCH(B177,{"January","February","March","April","May","June","July","August","September","October","November","December"},0)</f>
        <v>11</v>
      </c>
      <c r="I177" s="9">
        <f t="shared" si="7"/>
        <v>43040</v>
      </c>
      <c r="J177" t="str">
        <f t="shared" si="8"/>
        <v>Pre Covid</v>
      </c>
      <c r="K177">
        <v>134.80000000000001</v>
      </c>
      <c r="L177" t="e">
        <f t="shared" si="9"/>
        <v>#N/A</v>
      </c>
    </row>
    <row r="178" spans="1:12" x14ac:dyDescent="0.3">
      <c r="A178">
        <v>2017</v>
      </c>
      <c r="B178" t="s">
        <v>44</v>
      </c>
      <c r="C178">
        <v>1808.2</v>
      </c>
      <c r="D178">
        <v>132.6</v>
      </c>
      <c r="E178">
        <v>412.5</v>
      </c>
      <c r="F178">
        <v>282.10000000000002</v>
      </c>
      <c r="G178">
        <v>927.49999999999989</v>
      </c>
      <c r="H178">
        <f>MATCH(B178,{"January","February","March","April","May","June","July","August","September","October","November","December"},0)</f>
        <v>11</v>
      </c>
      <c r="I178" s="9">
        <f t="shared" si="7"/>
        <v>43040</v>
      </c>
      <c r="J178" t="str">
        <f t="shared" si="8"/>
        <v>Pre Covid</v>
      </c>
      <c r="K178">
        <v>137.6</v>
      </c>
      <c r="L178" t="e">
        <f t="shared" si="9"/>
        <v>#N/A</v>
      </c>
    </row>
    <row r="179" spans="1:12" x14ac:dyDescent="0.3">
      <c r="A179">
        <v>2017</v>
      </c>
      <c r="B179" t="s">
        <v>45</v>
      </c>
      <c r="C179">
        <v>1813.6000000000001</v>
      </c>
      <c r="D179">
        <v>136.1</v>
      </c>
      <c r="E179">
        <v>422.79999999999995</v>
      </c>
      <c r="F179">
        <v>286.60000000000002</v>
      </c>
      <c r="G179">
        <v>958.29999999999984</v>
      </c>
      <c r="H179">
        <f>MATCH(B179,{"January","February","March","April","May","June","July","August","September","October","November","December"},0)</f>
        <v>12</v>
      </c>
      <c r="I179" s="9">
        <f t="shared" si="7"/>
        <v>43070</v>
      </c>
      <c r="J179" t="str">
        <f t="shared" si="8"/>
        <v>Pre Covid</v>
      </c>
      <c r="K179">
        <v>139.80000000000001</v>
      </c>
      <c r="L179" t="e">
        <f t="shared" si="9"/>
        <v>#N/A</v>
      </c>
    </row>
    <row r="180" spans="1:12" x14ac:dyDescent="0.3">
      <c r="A180">
        <v>2017</v>
      </c>
      <c r="B180" t="s">
        <v>45</v>
      </c>
      <c r="C180">
        <v>1767.5</v>
      </c>
      <c r="D180">
        <v>128.19999999999999</v>
      </c>
      <c r="E180">
        <v>402.59999999999997</v>
      </c>
      <c r="F180">
        <v>282.60000000000002</v>
      </c>
      <c r="G180">
        <v>889.5</v>
      </c>
      <c r="H180">
        <f>MATCH(B180,{"January","February","March","April","May","June","July","August","September","October","November","December"},0)</f>
        <v>12</v>
      </c>
      <c r="I180" s="9">
        <f t="shared" si="7"/>
        <v>43070</v>
      </c>
      <c r="J180" t="str">
        <f t="shared" si="8"/>
        <v>Pre Covid</v>
      </c>
      <c r="K180">
        <v>134.1</v>
      </c>
      <c r="L180" t="e">
        <f t="shared" si="9"/>
        <v>#N/A</v>
      </c>
    </row>
    <row r="181" spans="1:12" x14ac:dyDescent="0.3">
      <c r="A181">
        <v>2017</v>
      </c>
      <c r="B181" t="s">
        <v>45</v>
      </c>
      <c r="C181">
        <v>1794.9999999999998</v>
      </c>
      <c r="D181">
        <v>133.1</v>
      </c>
      <c r="E181">
        <v>414.2</v>
      </c>
      <c r="F181">
        <v>283.2</v>
      </c>
      <c r="G181">
        <v>928.5</v>
      </c>
      <c r="H181">
        <f>MATCH(B181,{"January","February","March","April","May","June","July","August","September","October","November","December"},0)</f>
        <v>12</v>
      </c>
      <c r="I181" s="9">
        <f t="shared" si="7"/>
        <v>43070</v>
      </c>
      <c r="J181" t="str">
        <f t="shared" si="8"/>
        <v>Pre Covid</v>
      </c>
      <c r="K181">
        <v>137.19999999999999</v>
      </c>
      <c r="L181" t="e">
        <f t="shared" si="9"/>
        <v>#N/A</v>
      </c>
    </row>
    <row r="182" spans="1:12" x14ac:dyDescent="0.3">
      <c r="A182">
        <v>2018</v>
      </c>
      <c r="B182" t="s">
        <v>31</v>
      </c>
      <c r="C182">
        <v>1800.7</v>
      </c>
      <c r="D182">
        <v>136</v>
      </c>
      <c r="E182">
        <v>424.30000000000007</v>
      </c>
      <c r="F182">
        <v>287.89999999999998</v>
      </c>
      <c r="G182">
        <v>961.50000000000023</v>
      </c>
      <c r="H182">
        <f>MATCH(B182,{"January","February","March","April","May","June","July","August","September","October","November","December"},0)</f>
        <v>1</v>
      </c>
      <c r="I182" s="9">
        <f t="shared" si="7"/>
        <v>43101</v>
      </c>
      <c r="J182" t="str">
        <f t="shared" si="8"/>
        <v>Pre Covid</v>
      </c>
      <c r="K182">
        <v>139.30000000000001</v>
      </c>
      <c r="L182" t="e">
        <f t="shared" si="9"/>
        <v>#N/A</v>
      </c>
    </row>
    <row r="183" spans="1:12" x14ac:dyDescent="0.3">
      <c r="A183">
        <v>2018</v>
      </c>
      <c r="B183" t="s">
        <v>31</v>
      </c>
      <c r="C183">
        <v>1748.3000000000002</v>
      </c>
      <c r="D183">
        <v>129</v>
      </c>
      <c r="E183">
        <v>404.79999999999995</v>
      </c>
      <c r="F183">
        <v>283.89999999999998</v>
      </c>
      <c r="G183">
        <v>893.39999999999986</v>
      </c>
      <c r="H183">
        <f>MATCH(B183,{"January","February","March","April","May","June","July","August","September","October","November","December"},0)</f>
        <v>1</v>
      </c>
      <c r="I183" s="9">
        <f t="shared" si="7"/>
        <v>43101</v>
      </c>
      <c r="J183" t="str">
        <f t="shared" si="8"/>
        <v>Pre Covid</v>
      </c>
      <c r="K183">
        <v>134.1</v>
      </c>
      <c r="L183" t="e">
        <f t="shared" si="9"/>
        <v>#N/A</v>
      </c>
    </row>
    <row r="184" spans="1:12" x14ac:dyDescent="0.3">
      <c r="A184">
        <v>2018</v>
      </c>
      <c r="B184" t="s">
        <v>31</v>
      </c>
      <c r="C184">
        <v>1779.9</v>
      </c>
      <c r="D184">
        <v>133.30000000000001</v>
      </c>
      <c r="E184">
        <v>416</v>
      </c>
      <c r="F184">
        <v>284.39999999999998</v>
      </c>
      <c r="G184">
        <v>931.9</v>
      </c>
      <c r="H184">
        <f>MATCH(B184,{"January","February","March","April","May","June","July","August","September","October","November","December"},0)</f>
        <v>1</v>
      </c>
      <c r="I184" s="9">
        <f t="shared" si="7"/>
        <v>43101</v>
      </c>
      <c r="J184" t="str">
        <f t="shared" si="8"/>
        <v>Pre Covid</v>
      </c>
      <c r="K184">
        <v>136.9</v>
      </c>
      <c r="L184" t="e">
        <f t="shared" si="9"/>
        <v>#N/A</v>
      </c>
    </row>
    <row r="185" spans="1:12" x14ac:dyDescent="0.3">
      <c r="A185">
        <v>2018</v>
      </c>
      <c r="B185" t="s">
        <v>34</v>
      </c>
      <c r="C185">
        <v>1781.5</v>
      </c>
      <c r="D185">
        <v>136.19999999999999</v>
      </c>
      <c r="E185">
        <v>425.20000000000005</v>
      </c>
      <c r="F185">
        <v>287.60000000000002</v>
      </c>
      <c r="G185">
        <v>963.40000000000009</v>
      </c>
      <c r="H185">
        <f>MATCH(B185,{"January","February","March","April","May","June","July","August","September","October","November","December"},0)</f>
        <v>2</v>
      </c>
      <c r="I185" s="9">
        <f t="shared" si="7"/>
        <v>43132</v>
      </c>
      <c r="J185" t="str">
        <f t="shared" si="8"/>
        <v>Pre Covid</v>
      </c>
      <c r="K185">
        <v>138.5</v>
      </c>
      <c r="L185" t="e">
        <f t="shared" si="9"/>
        <v>#N/A</v>
      </c>
    </row>
    <row r="186" spans="1:12" x14ac:dyDescent="0.3">
      <c r="A186">
        <v>2018</v>
      </c>
      <c r="B186" t="s">
        <v>34</v>
      </c>
      <c r="C186">
        <v>1727.9</v>
      </c>
      <c r="D186">
        <v>129.80000000000001</v>
      </c>
      <c r="E186">
        <v>405.8</v>
      </c>
      <c r="F186">
        <v>285.8</v>
      </c>
      <c r="G186">
        <v>897.1</v>
      </c>
      <c r="H186">
        <f>MATCH(B186,{"January","February","March","April","May","June","July","August","September","October","November","December"},0)</f>
        <v>2</v>
      </c>
      <c r="I186" s="9">
        <f t="shared" si="7"/>
        <v>43132</v>
      </c>
      <c r="J186" t="str">
        <f t="shared" si="8"/>
        <v>Pre Covid</v>
      </c>
      <c r="K186">
        <v>134</v>
      </c>
      <c r="L186" t="e">
        <f t="shared" si="9"/>
        <v>#N/A</v>
      </c>
    </row>
    <row r="187" spans="1:12" x14ac:dyDescent="0.3">
      <c r="A187">
        <v>2018</v>
      </c>
      <c r="B187" t="s">
        <v>34</v>
      </c>
      <c r="C187">
        <v>1760.3999999999996</v>
      </c>
      <c r="D187">
        <v>133.80000000000001</v>
      </c>
      <c r="E187">
        <v>417</v>
      </c>
      <c r="F187">
        <v>284.8</v>
      </c>
      <c r="G187">
        <v>934.70000000000016</v>
      </c>
      <c r="H187">
        <f>MATCH(B187,{"January","February","March","April","May","June","July","August","September","October","November","December"},0)</f>
        <v>2</v>
      </c>
      <c r="I187" s="9">
        <f t="shared" si="7"/>
        <v>43132</v>
      </c>
      <c r="J187" t="str">
        <f t="shared" si="8"/>
        <v>Pre Covid</v>
      </c>
      <c r="K187">
        <v>136.4</v>
      </c>
      <c r="L187" t="e">
        <f t="shared" si="9"/>
        <v>#N/A</v>
      </c>
    </row>
    <row r="188" spans="1:12" x14ac:dyDescent="0.3">
      <c r="A188">
        <v>2018</v>
      </c>
      <c r="B188" t="s">
        <v>35</v>
      </c>
      <c r="C188">
        <v>1781.9999999999998</v>
      </c>
      <c r="D188">
        <v>136.69999999999999</v>
      </c>
      <c r="E188">
        <v>427.3</v>
      </c>
      <c r="F188">
        <v>290.2</v>
      </c>
      <c r="G188">
        <v>967.59999999999991</v>
      </c>
      <c r="H188">
        <f>MATCH(B188,{"January","February","March","April","May","June","July","August","September","October","November","December"},0)</f>
        <v>3</v>
      </c>
      <c r="I188" s="9">
        <f t="shared" si="7"/>
        <v>43160</v>
      </c>
      <c r="J188" t="str">
        <f t="shared" si="8"/>
        <v>Pre Covid</v>
      </c>
      <c r="K188">
        <v>138.69999999999999</v>
      </c>
      <c r="L188" t="e">
        <f t="shared" si="9"/>
        <v>#N/A</v>
      </c>
    </row>
    <row r="189" spans="1:12" x14ac:dyDescent="0.3">
      <c r="A189">
        <v>2018</v>
      </c>
      <c r="B189" t="s">
        <v>35</v>
      </c>
      <c r="C189">
        <v>1715.5</v>
      </c>
      <c r="D189">
        <v>130.5</v>
      </c>
      <c r="E189">
        <v>406.2</v>
      </c>
      <c r="F189">
        <v>286.5</v>
      </c>
      <c r="G189">
        <v>901</v>
      </c>
      <c r="H189">
        <f>MATCH(B189,{"January","February","March","April","May","June","July","August","September","October","November","December"},0)</f>
        <v>3</v>
      </c>
      <c r="I189" s="9">
        <f t="shared" si="7"/>
        <v>43160</v>
      </c>
      <c r="J189" t="str">
        <f t="shared" si="8"/>
        <v>Pre Covid</v>
      </c>
      <c r="K189">
        <v>134</v>
      </c>
      <c r="L189" t="e">
        <f t="shared" si="9"/>
        <v>#N/A</v>
      </c>
    </row>
    <row r="190" spans="1:12" x14ac:dyDescent="0.3">
      <c r="A190">
        <v>2018</v>
      </c>
      <c r="B190" t="s">
        <v>35</v>
      </c>
      <c r="C190">
        <v>1756</v>
      </c>
      <c r="D190">
        <v>134.30000000000001</v>
      </c>
      <c r="E190">
        <v>418.3</v>
      </c>
      <c r="F190">
        <v>286.70000000000005</v>
      </c>
      <c r="G190">
        <v>938.7</v>
      </c>
      <c r="H190">
        <f>MATCH(B190,{"January","February","March","April","May","June","July","August","September","October","November","December"},0)</f>
        <v>3</v>
      </c>
      <c r="I190" s="9">
        <f t="shared" si="7"/>
        <v>43160</v>
      </c>
      <c r="J190" t="str">
        <f t="shared" si="8"/>
        <v>Pre Covid</v>
      </c>
      <c r="K190">
        <v>136.5</v>
      </c>
      <c r="L190" t="e">
        <f t="shared" si="9"/>
        <v>#N/A</v>
      </c>
    </row>
    <row r="191" spans="1:12" x14ac:dyDescent="0.3">
      <c r="A191">
        <v>2018</v>
      </c>
      <c r="B191" t="s">
        <v>36</v>
      </c>
      <c r="C191">
        <v>1780</v>
      </c>
      <c r="D191">
        <v>137.6</v>
      </c>
      <c r="E191">
        <v>430.40000000000003</v>
      </c>
      <c r="F191">
        <v>292.10000000000002</v>
      </c>
      <c r="G191">
        <v>973.3</v>
      </c>
      <c r="H191">
        <f>MATCH(B191,{"January","February","March","April","May","June","July","August","September","October","November","December"},0)</f>
        <v>4</v>
      </c>
      <c r="I191" s="9">
        <f t="shared" si="7"/>
        <v>43191</v>
      </c>
      <c r="J191" t="str">
        <f t="shared" si="8"/>
        <v>Pre Covid</v>
      </c>
      <c r="K191">
        <v>139.1</v>
      </c>
      <c r="L191" t="e">
        <f t="shared" si="9"/>
        <v>#N/A</v>
      </c>
    </row>
    <row r="192" spans="1:12" x14ac:dyDescent="0.3">
      <c r="A192">
        <v>2018</v>
      </c>
      <c r="B192" t="s">
        <v>36</v>
      </c>
      <c r="C192">
        <v>1720.0000000000002</v>
      </c>
      <c r="D192">
        <v>131.30000000000001</v>
      </c>
      <c r="E192">
        <v>407.2</v>
      </c>
      <c r="F192">
        <v>286.79999999999995</v>
      </c>
      <c r="G192">
        <v>907.90000000000009</v>
      </c>
      <c r="H192">
        <f>MATCH(B192,{"January","February","March","April","May","June","July","August","September","October","November","December"},0)</f>
        <v>4</v>
      </c>
      <c r="I192" s="9">
        <f t="shared" si="7"/>
        <v>43191</v>
      </c>
      <c r="J192" t="str">
        <f t="shared" si="8"/>
        <v>Pre Covid</v>
      </c>
      <c r="K192">
        <v>134.80000000000001</v>
      </c>
      <c r="L192" t="e">
        <f t="shared" si="9"/>
        <v>#N/A</v>
      </c>
    </row>
    <row r="193" spans="1:12" x14ac:dyDescent="0.3">
      <c r="A193">
        <v>2018</v>
      </c>
      <c r="B193" t="s">
        <v>36</v>
      </c>
      <c r="C193">
        <v>1757.1000000000001</v>
      </c>
      <c r="D193">
        <v>135.19999999999999</v>
      </c>
      <c r="E193">
        <v>420.79999999999995</v>
      </c>
      <c r="F193">
        <v>288.20000000000005</v>
      </c>
      <c r="G193">
        <v>945</v>
      </c>
      <c r="H193">
        <f>MATCH(B193,{"January","February","March","April","May","June","July","August","September","October","November","December"},0)</f>
        <v>4</v>
      </c>
      <c r="I193" s="9">
        <f t="shared" si="7"/>
        <v>43191</v>
      </c>
      <c r="J193" t="str">
        <f t="shared" si="8"/>
        <v>Pre Covid</v>
      </c>
      <c r="K193">
        <v>137.1</v>
      </c>
      <c r="L193" t="e">
        <f t="shared" si="9"/>
        <v>#N/A</v>
      </c>
    </row>
    <row r="194" spans="1:12" x14ac:dyDescent="0.3">
      <c r="A194">
        <v>2018</v>
      </c>
      <c r="B194" t="s">
        <v>37</v>
      </c>
      <c r="C194">
        <v>1782.4</v>
      </c>
      <c r="D194">
        <v>138.4</v>
      </c>
      <c r="E194">
        <v>431.9</v>
      </c>
      <c r="F194">
        <v>293.8</v>
      </c>
      <c r="G194">
        <v>979.19999999999993</v>
      </c>
      <c r="H194">
        <f>MATCH(B194,{"January","February","March","April","May","June","July","August","September","October","November","December"},0)</f>
        <v>5</v>
      </c>
      <c r="I194" s="9">
        <f t="shared" si="7"/>
        <v>43221</v>
      </c>
      <c r="J194" t="str">
        <f t="shared" si="8"/>
        <v>Pre Covid</v>
      </c>
      <c r="K194">
        <v>139.80000000000001</v>
      </c>
      <c r="L194" t="e">
        <f t="shared" si="9"/>
        <v>#N/A</v>
      </c>
    </row>
    <row r="195" spans="1:12" x14ac:dyDescent="0.3">
      <c r="A195">
        <v>2018</v>
      </c>
      <c r="B195" t="s">
        <v>37</v>
      </c>
      <c r="C195">
        <v>1722.8999999999999</v>
      </c>
      <c r="D195">
        <v>132</v>
      </c>
      <c r="E195">
        <v>408.29999999999995</v>
      </c>
      <c r="F195">
        <v>288.3</v>
      </c>
      <c r="G195">
        <v>912.8</v>
      </c>
      <c r="H195">
        <f>MATCH(B195,{"January","February","March","April","May","June","July","August","September","October","November","December"},0)</f>
        <v>5</v>
      </c>
      <c r="I195" s="9">
        <f t="shared" ref="I195:I258" si="10">DATE(A195,H195,1)</f>
        <v>43221</v>
      </c>
      <c r="J195" t="str">
        <f t="shared" ref="J195:J258" si="11">IF(I195&lt;DATE(2020,3,1),"Pre Covid","Post Covid")</f>
        <v>Pre Covid</v>
      </c>
      <c r="K195">
        <v>135.4</v>
      </c>
      <c r="L195" t="e">
        <f t="shared" ref="L195:L258" si="12">IF(I195=DATE(2020,3,1),MAX(K195:K566),NA())</f>
        <v>#N/A</v>
      </c>
    </row>
    <row r="196" spans="1:12" x14ac:dyDescent="0.3">
      <c r="A196">
        <v>2018</v>
      </c>
      <c r="B196" t="s">
        <v>37</v>
      </c>
      <c r="C196">
        <v>1759.8</v>
      </c>
      <c r="D196">
        <v>136</v>
      </c>
      <c r="E196">
        <v>422.20000000000005</v>
      </c>
      <c r="F196">
        <v>289.70000000000005</v>
      </c>
      <c r="G196">
        <v>950.4</v>
      </c>
      <c r="H196">
        <f>MATCH(B196,{"January","February","March","April","May","June","July","August","September","October","November","December"},0)</f>
        <v>5</v>
      </c>
      <c r="I196" s="9">
        <f t="shared" si="10"/>
        <v>43221</v>
      </c>
      <c r="J196" t="str">
        <f t="shared" si="11"/>
        <v>Pre Covid</v>
      </c>
      <c r="K196">
        <v>137.80000000000001</v>
      </c>
      <c r="L196" t="e">
        <f t="shared" si="12"/>
        <v>#N/A</v>
      </c>
    </row>
    <row r="197" spans="1:12" x14ac:dyDescent="0.3">
      <c r="A197">
        <v>2018</v>
      </c>
      <c r="B197" t="s">
        <v>38</v>
      </c>
      <c r="C197">
        <v>1790.2999999999997</v>
      </c>
      <c r="D197">
        <v>138.4</v>
      </c>
      <c r="E197">
        <v>432.70000000000005</v>
      </c>
      <c r="F197">
        <v>295.10000000000002</v>
      </c>
      <c r="G197">
        <v>982.9</v>
      </c>
      <c r="H197">
        <f>MATCH(B197,{"January","February","March","April","May","June","July","August","September","October","November","December"},0)</f>
        <v>6</v>
      </c>
      <c r="I197" s="9">
        <f t="shared" si="10"/>
        <v>43252</v>
      </c>
      <c r="J197" t="str">
        <f t="shared" si="11"/>
        <v>Pre Covid</v>
      </c>
      <c r="K197">
        <v>140.5</v>
      </c>
      <c r="L197" t="e">
        <f t="shared" si="12"/>
        <v>#N/A</v>
      </c>
    </row>
    <row r="198" spans="1:12" x14ac:dyDescent="0.3">
      <c r="A198">
        <v>2018</v>
      </c>
      <c r="B198" t="s">
        <v>38</v>
      </c>
      <c r="C198">
        <v>1747.3000000000002</v>
      </c>
      <c r="D198">
        <v>132.6</v>
      </c>
      <c r="E198">
        <v>410.2</v>
      </c>
      <c r="F198">
        <v>289.5</v>
      </c>
      <c r="G198">
        <v>916.2</v>
      </c>
      <c r="H198">
        <f>MATCH(B198,{"January","February","March","April","May","June","July","August","September","October","November","December"},0)</f>
        <v>6</v>
      </c>
      <c r="I198" s="9">
        <f t="shared" si="10"/>
        <v>43252</v>
      </c>
      <c r="J198" t="str">
        <f t="shared" si="11"/>
        <v>Pre Covid</v>
      </c>
      <c r="K198">
        <v>136.19999999999999</v>
      </c>
      <c r="L198" t="e">
        <f t="shared" si="12"/>
        <v>#N/A</v>
      </c>
    </row>
    <row r="199" spans="1:12" x14ac:dyDescent="0.3">
      <c r="A199">
        <v>2018</v>
      </c>
      <c r="B199" t="s">
        <v>38</v>
      </c>
      <c r="C199">
        <v>1774.1000000000001</v>
      </c>
      <c r="D199">
        <v>136.19999999999999</v>
      </c>
      <c r="E199">
        <v>423.40000000000003</v>
      </c>
      <c r="F199">
        <v>290.89999999999998</v>
      </c>
      <c r="G199">
        <v>954.00000000000011</v>
      </c>
      <c r="H199">
        <f>MATCH(B199,{"January","February","March","April","May","June","July","August","September","October","November","December"},0)</f>
        <v>6</v>
      </c>
      <c r="I199" s="9">
        <f t="shared" si="10"/>
        <v>43252</v>
      </c>
      <c r="J199" t="str">
        <f t="shared" si="11"/>
        <v>Pre Covid</v>
      </c>
      <c r="K199">
        <v>138.5</v>
      </c>
      <c r="L199" t="e">
        <f t="shared" si="12"/>
        <v>#N/A</v>
      </c>
    </row>
    <row r="200" spans="1:12" x14ac:dyDescent="0.3">
      <c r="A200">
        <v>2018</v>
      </c>
      <c r="B200" t="s">
        <v>39</v>
      </c>
      <c r="C200">
        <v>1810.5000000000002</v>
      </c>
      <c r="D200">
        <v>139</v>
      </c>
      <c r="E200">
        <v>436.2</v>
      </c>
      <c r="F200">
        <v>294.5</v>
      </c>
      <c r="G200">
        <v>985.2</v>
      </c>
      <c r="H200">
        <f>MATCH(B200,{"January","February","March","April","May","June","July","August","September","October","November","December"},0)</f>
        <v>7</v>
      </c>
      <c r="I200" s="9">
        <f t="shared" si="10"/>
        <v>43282</v>
      </c>
      <c r="J200" t="str">
        <f t="shared" si="11"/>
        <v>Pre Covid</v>
      </c>
      <c r="K200">
        <v>141.80000000000001</v>
      </c>
      <c r="L200" t="e">
        <f t="shared" si="12"/>
        <v>#N/A</v>
      </c>
    </row>
    <row r="201" spans="1:12" x14ac:dyDescent="0.3">
      <c r="A201">
        <v>2018</v>
      </c>
      <c r="B201" t="s">
        <v>39</v>
      </c>
      <c r="C201">
        <v>1771.1</v>
      </c>
      <c r="D201">
        <v>133.6</v>
      </c>
      <c r="E201">
        <v>415.7</v>
      </c>
      <c r="F201">
        <v>290.39999999999998</v>
      </c>
      <c r="G201">
        <v>918.5</v>
      </c>
      <c r="H201">
        <f>MATCH(B201,{"January","February","March","April","May","June","July","August","September","October","November","December"},0)</f>
        <v>7</v>
      </c>
      <c r="I201" s="9">
        <f t="shared" si="10"/>
        <v>43282</v>
      </c>
      <c r="J201" t="str">
        <f t="shared" si="11"/>
        <v>Pre Covid</v>
      </c>
      <c r="K201">
        <v>137.5</v>
      </c>
      <c r="L201" t="e">
        <f t="shared" si="12"/>
        <v>#N/A</v>
      </c>
    </row>
    <row r="202" spans="1:12" x14ac:dyDescent="0.3">
      <c r="A202">
        <v>2018</v>
      </c>
      <c r="B202" t="s">
        <v>39</v>
      </c>
      <c r="C202">
        <v>1795.3</v>
      </c>
      <c r="D202">
        <v>137</v>
      </c>
      <c r="E202">
        <v>427.99999999999994</v>
      </c>
      <c r="F202">
        <v>290.60000000000002</v>
      </c>
      <c r="G202">
        <v>956.30000000000018</v>
      </c>
      <c r="H202">
        <f>MATCH(B202,{"January","February","March","April","May","June","July","August","September","October","November","December"},0)</f>
        <v>7</v>
      </c>
      <c r="I202" s="9">
        <f t="shared" si="10"/>
        <v>43282</v>
      </c>
      <c r="J202" t="str">
        <f t="shared" si="11"/>
        <v>Pre Covid</v>
      </c>
      <c r="K202">
        <v>139.80000000000001</v>
      </c>
      <c r="L202" t="e">
        <f t="shared" si="12"/>
        <v>#N/A</v>
      </c>
    </row>
    <row r="203" spans="1:12" x14ac:dyDescent="0.3">
      <c r="A203">
        <v>2018</v>
      </c>
      <c r="B203" t="s">
        <v>40</v>
      </c>
      <c r="C203">
        <v>1818.8</v>
      </c>
      <c r="D203">
        <v>139.4</v>
      </c>
      <c r="E203">
        <v>439.19999999999993</v>
      </c>
      <c r="F203">
        <v>295</v>
      </c>
      <c r="G203">
        <v>989.19999999999993</v>
      </c>
      <c r="H203">
        <f>MATCH(B203,{"January","February","March","April","May","June","July","August","September","October","November","December"},0)</f>
        <v>8</v>
      </c>
      <c r="I203" s="9">
        <f t="shared" si="10"/>
        <v>43313</v>
      </c>
      <c r="J203" t="str">
        <f t="shared" si="11"/>
        <v>Pre Covid</v>
      </c>
      <c r="K203">
        <v>142.5</v>
      </c>
      <c r="L203" t="e">
        <f t="shared" si="12"/>
        <v>#N/A</v>
      </c>
    </row>
    <row r="204" spans="1:12" x14ac:dyDescent="0.3">
      <c r="A204">
        <v>2018</v>
      </c>
      <c r="B204" t="s">
        <v>40</v>
      </c>
      <c r="C204">
        <v>1767.6</v>
      </c>
      <c r="D204">
        <v>134.9</v>
      </c>
      <c r="E204">
        <v>419.7</v>
      </c>
      <c r="F204">
        <v>291.89999999999998</v>
      </c>
      <c r="G204">
        <v>921.7</v>
      </c>
      <c r="H204">
        <f>MATCH(B204,{"January","February","March","April","May","June","July","August","September","October","November","December"},0)</f>
        <v>8</v>
      </c>
      <c r="I204" s="9">
        <f t="shared" si="10"/>
        <v>43313</v>
      </c>
      <c r="J204" t="str">
        <f t="shared" si="11"/>
        <v>Pre Covid</v>
      </c>
      <c r="K204">
        <v>138</v>
      </c>
      <c r="L204" t="e">
        <f t="shared" si="12"/>
        <v>#N/A</v>
      </c>
    </row>
    <row r="205" spans="1:12" x14ac:dyDescent="0.3">
      <c r="A205">
        <v>2018</v>
      </c>
      <c r="B205" t="s">
        <v>40</v>
      </c>
      <c r="C205">
        <v>1798.7000000000003</v>
      </c>
      <c r="D205">
        <v>137.69999999999999</v>
      </c>
      <c r="E205">
        <v>431.5</v>
      </c>
      <c r="F205">
        <v>291.5</v>
      </c>
      <c r="G205">
        <v>959.9</v>
      </c>
      <c r="H205">
        <f>MATCH(B205,{"January","February","March","April","May","June","July","August","September","October","November","December"},0)</f>
        <v>8</v>
      </c>
      <c r="I205" s="9">
        <f t="shared" si="10"/>
        <v>43313</v>
      </c>
      <c r="J205" t="str">
        <f t="shared" si="11"/>
        <v>Pre Covid</v>
      </c>
      <c r="K205">
        <v>140.4</v>
      </c>
      <c r="L205" t="e">
        <f t="shared" si="12"/>
        <v>#N/A</v>
      </c>
    </row>
    <row r="206" spans="1:12" x14ac:dyDescent="0.3">
      <c r="A206">
        <v>2018</v>
      </c>
      <c r="B206" t="s">
        <v>41</v>
      </c>
      <c r="C206">
        <v>1799.8000000000002</v>
      </c>
      <c r="D206">
        <v>140</v>
      </c>
      <c r="E206">
        <v>441.9</v>
      </c>
      <c r="F206">
        <v>297.7</v>
      </c>
      <c r="G206">
        <v>992.8</v>
      </c>
      <c r="H206">
        <f>MATCH(B206,{"January","February","March","April","May","June","July","August","September","October","November","December"},0)</f>
        <v>9</v>
      </c>
      <c r="I206" s="9">
        <f t="shared" si="10"/>
        <v>43344</v>
      </c>
      <c r="J206" t="str">
        <f t="shared" si="11"/>
        <v>Pre Covid</v>
      </c>
      <c r="K206">
        <v>142.1</v>
      </c>
      <c r="L206" t="e">
        <f t="shared" si="12"/>
        <v>#N/A</v>
      </c>
    </row>
    <row r="207" spans="1:12" x14ac:dyDescent="0.3">
      <c r="A207">
        <v>2018</v>
      </c>
      <c r="B207" t="s">
        <v>41</v>
      </c>
      <c r="C207">
        <v>1748.4</v>
      </c>
      <c r="D207">
        <v>135.69999999999999</v>
      </c>
      <c r="E207">
        <v>421.7</v>
      </c>
      <c r="F207">
        <v>293.5</v>
      </c>
      <c r="G207">
        <v>927.80000000000007</v>
      </c>
      <c r="H207">
        <f>MATCH(B207,{"January","February","March","April","May","June","July","August","September","October","November","December"},0)</f>
        <v>9</v>
      </c>
      <c r="I207" s="9">
        <f t="shared" si="10"/>
        <v>43344</v>
      </c>
      <c r="J207" t="str">
        <f t="shared" si="11"/>
        <v>Pre Covid</v>
      </c>
      <c r="K207">
        <v>138.1</v>
      </c>
      <c r="L207" t="e">
        <f t="shared" si="12"/>
        <v>#N/A</v>
      </c>
    </row>
    <row r="208" spans="1:12" x14ac:dyDescent="0.3">
      <c r="A208">
        <v>2018</v>
      </c>
      <c r="B208" t="s">
        <v>41</v>
      </c>
      <c r="C208">
        <v>1779.5</v>
      </c>
      <c r="D208">
        <v>138.4</v>
      </c>
      <c r="E208">
        <v>433.8</v>
      </c>
      <c r="F208">
        <v>293.7</v>
      </c>
      <c r="G208">
        <v>964.59999999999991</v>
      </c>
      <c r="H208">
        <f>MATCH(B208,{"January","February","March","April","May","June","July","August","September","October","November","December"},0)</f>
        <v>9</v>
      </c>
      <c r="I208" s="9">
        <f t="shared" si="10"/>
        <v>43344</v>
      </c>
      <c r="J208" t="str">
        <f t="shared" si="11"/>
        <v>Pre Covid</v>
      </c>
      <c r="K208">
        <v>140.19999999999999</v>
      </c>
      <c r="L208" t="e">
        <f t="shared" si="12"/>
        <v>#N/A</v>
      </c>
    </row>
    <row r="209" spans="1:12" x14ac:dyDescent="0.3">
      <c r="A209">
        <v>2018</v>
      </c>
      <c r="B209" t="s">
        <v>42</v>
      </c>
      <c r="C209">
        <v>1782.2</v>
      </c>
      <c r="D209">
        <v>144.80000000000001</v>
      </c>
      <c r="E209">
        <v>444</v>
      </c>
      <c r="F209">
        <v>299.7</v>
      </c>
      <c r="G209">
        <v>997.5</v>
      </c>
      <c r="H209">
        <f>MATCH(B209,{"January","February","March","April","May","June","July","August","September","October","November","December"},0)</f>
        <v>10</v>
      </c>
      <c r="I209" s="9">
        <f t="shared" si="10"/>
        <v>43374</v>
      </c>
      <c r="J209" t="str">
        <f t="shared" si="11"/>
        <v>Pre Covid</v>
      </c>
      <c r="K209">
        <v>142.19999999999999</v>
      </c>
      <c r="L209" t="e">
        <f t="shared" si="12"/>
        <v>#N/A</v>
      </c>
    </row>
    <row r="210" spans="1:12" x14ac:dyDescent="0.3">
      <c r="A210">
        <v>2018</v>
      </c>
      <c r="B210" t="s">
        <v>42</v>
      </c>
      <c r="C210">
        <v>1754.1</v>
      </c>
      <c r="D210">
        <v>136.19999999999999</v>
      </c>
      <c r="E210">
        <v>425.20000000000005</v>
      </c>
      <c r="F210">
        <v>294.7</v>
      </c>
      <c r="G210">
        <v>932.3</v>
      </c>
      <c r="H210">
        <f>MATCH(B210,{"January","February","March","April","May","June","July","August","September","October","November","December"},0)</f>
        <v>10</v>
      </c>
      <c r="I210" s="9">
        <f t="shared" si="10"/>
        <v>43374</v>
      </c>
      <c r="J210" t="str">
        <f t="shared" si="11"/>
        <v>Pre Covid</v>
      </c>
      <c r="K210">
        <v>138.9</v>
      </c>
      <c r="L210" t="e">
        <f t="shared" si="12"/>
        <v>#N/A</v>
      </c>
    </row>
    <row r="211" spans="1:12" x14ac:dyDescent="0.3">
      <c r="A211">
        <v>2018</v>
      </c>
      <c r="B211" t="s">
        <v>42</v>
      </c>
      <c r="C211">
        <v>1776.2</v>
      </c>
      <c r="D211">
        <v>142.1</v>
      </c>
      <c r="E211">
        <v>440.00000000000006</v>
      </c>
      <c r="F211">
        <v>299.10000000000002</v>
      </c>
      <c r="G211">
        <v>970</v>
      </c>
      <c r="H211">
        <f>MATCH(B211,{"January","February","March","April","May","June","July","August","September","October","November","December"},0)</f>
        <v>10</v>
      </c>
      <c r="I211" s="9">
        <f t="shared" si="10"/>
        <v>43374</v>
      </c>
      <c r="J211" t="str">
        <f t="shared" si="11"/>
        <v>Pre Covid</v>
      </c>
      <c r="K211">
        <v>140.80000000000001</v>
      </c>
      <c r="L211" t="e">
        <f t="shared" si="12"/>
        <v>#N/A</v>
      </c>
    </row>
    <row r="212" spans="1:12" x14ac:dyDescent="0.3">
      <c r="A212">
        <v>2018</v>
      </c>
      <c r="B212" t="s">
        <v>44</v>
      </c>
      <c r="C212">
        <v>1787.4999999999995</v>
      </c>
      <c r="D212">
        <v>145.4</v>
      </c>
      <c r="E212">
        <v>447.40000000000003</v>
      </c>
      <c r="F212">
        <v>305</v>
      </c>
      <c r="G212">
        <v>999.5</v>
      </c>
      <c r="H212">
        <f>MATCH(B212,{"January","February","March","April","May","June","July","August","September","October","November","December"},0)</f>
        <v>11</v>
      </c>
      <c r="I212" s="9">
        <f t="shared" si="10"/>
        <v>43405</v>
      </c>
      <c r="J212" t="str">
        <f t="shared" si="11"/>
        <v>Pre Covid</v>
      </c>
      <c r="K212">
        <v>142.4</v>
      </c>
      <c r="L212" t="e">
        <f t="shared" si="12"/>
        <v>#N/A</v>
      </c>
    </row>
    <row r="213" spans="1:12" x14ac:dyDescent="0.3">
      <c r="A213">
        <v>2018</v>
      </c>
      <c r="B213" t="s">
        <v>44</v>
      </c>
      <c r="C213">
        <v>1757.4999999999998</v>
      </c>
      <c r="D213">
        <v>136.80000000000001</v>
      </c>
      <c r="E213">
        <v>429.70000000000005</v>
      </c>
      <c r="F213">
        <v>295.70000000000005</v>
      </c>
      <c r="G213">
        <v>932.80000000000018</v>
      </c>
      <c r="H213">
        <f>MATCH(B213,{"January","February","March","April","May","June","July","August","September","October","November","December"},0)</f>
        <v>11</v>
      </c>
      <c r="I213" s="9">
        <f t="shared" si="10"/>
        <v>43405</v>
      </c>
      <c r="J213" t="str">
        <f t="shared" si="11"/>
        <v>Pre Covid</v>
      </c>
      <c r="K213">
        <v>139</v>
      </c>
      <c r="L213" t="e">
        <f t="shared" si="12"/>
        <v>#N/A</v>
      </c>
    </row>
    <row r="214" spans="1:12" x14ac:dyDescent="0.3">
      <c r="A214">
        <v>2018</v>
      </c>
      <c r="B214" t="s">
        <v>44</v>
      </c>
      <c r="C214">
        <v>1775.7000000000003</v>
      </c>
      <c r="D214">
        <v>142.1</v>
      </c>
      <c r="E214">
        <v>439.8</v>
      </c>
      <c r="F214">
        <v>299.10000000000002</v>
      </c>
      <c r="G214">
        <v>969.8</v>
      </c>
      <c r="H214">
        <f>MATCH(B214,{"January","February","March","April","May","June","July","August","September","October","November","December"},0)</f>
        <v>11</v>
      </c>
      <c r="I214" s="9">
        <f t="shared" si="10"/>
        <v>43405</v>
      </c>
      <c r="J214" t="str">
        <f t="shared" si="11"/>
        <v>Pre Covid</v>
      </c>
      <c r="K214">
        <v>140.80000000000001</v>
      </c>
      <c r="L214" t="e">
        <f t="shared" si="12"/>
        <v>#N/A</v>
      </c>
    </row>
    <row r="215" spans="1:12" x14ac:dyDescent="0.3">
      <c r="A215">
        <v>2018</v>
      </c>
      <c r="B215" t="s">
        <v>45</v>
      </c>
      <c r="C215">
        <v>1773.1000000000001</v>
      </c>
      <c r="D215">
        <v>149.6</v>
      </c>
      <c r="E215">
        <v>450.6</v>
      </c>
      <c r="F215">
        <v>305.70000000000005</v>
      </c>
      <c r="G215">
        <v>1001.4999999999999</v>
      </c>
      <c r="H215">
        <f>MATCH(B215,{"January","February","March","April","May","June","July","August","September","October","November","December"},0)</f>
        <v>12</v>
      </c>
      <c r="I215" s="9">
        <f t="shared" si="10"/>
        <v>43435</v>
      </c>
      <c r="J215" t="str">
        <f t="shared" si="11"/>
        <v>Pre Covid</v>
      </c>
      <c r="K215">
        <v>141.9</v>
      </c>
      <c r="L215" t="e">
        <f t="shared" si="12"/>
        <v>#N/A</v>
      </c>
    </row>
    <row r="216" spans="1:12" x14ac:dyDescent="0.3">
      <c r="A216">
        <v>2018</v>
      </c>
      <c r="B216" t="s">
        <v>45</v>
      </c>
      <c r="C216">
        <v>1746.6</v>
      </c>
      <c r="D216">
        <v>137.30000000000001</v>
      </c>
      <c r="E216">
        <v>425.4</v>
      </c>
      <c r="F216">
        <v>296.29999999999995</v>
      </c>
      <c r="G216">
        <v>931.3</v>
      </c>
      <c r="H216">
        <f>MATCH(B216,{"January","February","March","April","May","June","July","August","September","October","November","December"},0)</f>
        <v>12</v>
      </c>
      <c r="I216" s="9">
        <f t="shared" si="10"/>
        <v>43435</v>
      </c>
      <c r="J216" t="str">
        <f t="shared" si="11"/>
        <v>Pre Covid</v>
      </c>
      <c r="K216">
        <v>138</v>
      </c>
      <c r="L216" t="e">
        <f t="shared" si="12"/>
        <v>#N/A</v>
      </c>
    </row>
    <row r="217" spans="1:12" x14ac:dyDescent="0.3">
      <c r="A217">
        <v>2018</v>
      </c>
      <c r="B217" t="s">
        <v>45</v>
      </c>
      <c r="C217">
        <v>1762.7999999999997</v>
      </c>
      <c r="D217">
        <v>144.9</v>
      </c>
      <c r="E217">
        <v>439.29999999999995</v>
      </c>
      <c r="F217">
        <v>299.8</v>
      </c>
      <c r="G217">
        <v>970.09999999999991</v>
      </c>
      <c r="H217">
        <f>MATCH(B217,{"January","February","March","April","May","June","July","August","September","October","November","December"},0)</f>
        <v>12</v>
      </c>
      <c r="I217" s="9">
        <f t="shared" si="10"/>
        <v>43435</v>
      </c>
      <c r="J217" t="str">
        <f t="shared" si="11"/>
        <v>Pre Covid</v>
      </c>
      <c r="K217">
        <v>140.1</v>
      </c>
      <c r="L217" t="e">
        <f t="shared" si="12"/>
        <v>#N/A</v>
      </c>
    </row>
    <row r="218" spans="1:12" x14ac:dyDescent="0.3">
      <c r="A218">
        <v>2019</v>
      </c>
      <c r="B218" t="s">
        <v>31</v>
      </c>
      <c r="C218">
        <v>1759.6000000000001</v>
      </c>
      <c r="D218">
        <v>149.6</v>
      </c>
      <c r="E218">
        <v>449.09999999999997</v>
      </c>
      <c r="F218">
        <v>305.60000000000002</v>
      </c>
      <c r="G218">
        <v>999.5</v>
      </c>
      <c r="H218">
        <f>MATCH(B218,{"January","February","March","April","May","June","July","August","September","October","November","December"},0)</f>
        <v>1</v>
      </c>
      <c r="I218" s="9">
        <f t="shared" si="10"/>
        <v>43466</v>
      </c>
      <c r="J218" t="str">
        <f t="shared" si="11"/>
        <v>Pre Covid</v>
      </c>
      <c r="K218">
        <v>141</v>
      </c>
      <c r="L218" t="e">
        <f t="shared" si="12"/>
        <v>#N/A</v>
      </c>
    </row>
    <row r="219" spans="1:12" x14ac:dyDescent="0.3">
      <c r="A219">
        <v>2019</v>
      </c>
      <c r="B219" t="s">
        <v>31</v>
      </c>
      <c r="C219">
        <v>1744.3000000000002</v>
      </c>
      <c r="D219">
        <v>137.80000000000001</v>
      </c>
      <c r="E219">
        <v>422.9</v>
      </c>
      <c r="F219">
        <v>296.60000000000002</v>
      </c>
      <c r="G219">
        <v>932.89999999999986</v>
      </c>
      <c r="H219">
        <f>MATCH(B219,{"January","February","March","April","May","June","July","August","September","October","November","December"},0)</f>
        <v>1</v>
      </c>
      <c r="I219" s="9">
        <f t="shared" si="10"/>
        <v>43466</v>
      </c>
      <c r="J219" t="str">
        <f t="shared" si="11"/>
        <v>Pre Covid</v>
      </c>
      <c r="K219">
        <v>138</v>
      </c>
      <c r="L219" t="e">
        <f t="shared" si="12"/>
        <v>#N/A</v>
      </c>
    </row>
    <row r="220" spans="1:12" x14ac:dyDescent="0.3">
      <c r="A220">
        <v>2019</v>
      </c>
      <c r="B220" t="s">
        <v>31</v>
      </c>
      <c r="C220">
        <v>1753.3999999999999</v>
      </c>
      <c r="D220">
        <v>145.1</v>
      </c>
      <c r="E220">
        <v>437.4</v>
      </c>
      <c r="F220">
        <v>299.89999999999998</v>
      </c>
      <c r="G220">
        <v>969.6</v>
      </c>
      <c r="H220">
        <f>MATCH(B220,{"January","February","March","April","May","June","July","August","September","October","November","December"},0)</f>
        <v>1</v>
      </c>
      <c r="I220" s="9">
        <f t="shared" si="10"/>
        <v>43466</v>
      </c>
      <c r="J220" t="str">
        <f t="shared" si="11"/>
        <v>Pre Covid</v>
      </c>
      <c r="K220">
        <v>139.6</v>
      </c>
      <c r="L220" t="e">
        <f t="shared" si="12"/>
        <v>#N/A</v>
      </c>
    </row>
    <row r="221" spans="1:12" x14ac:dyDescent="0.3">
      <c r="A221">
        <v>2019</v>
      </c>
      <c r="B221" t="s">
        <v>34</v>
      </c>
      <c r="C221">
        <v>1759.8000000000002</v>
      </c>
      <c r="D221">
        <v>149.9</v>
      </c>
      <c r="E221">
        <v>449.3</v>
      </c>
      <c r="F221">
        <v>306.20000000000005</v>
      </c>
      <c r="G221">
        <v>1002.8999999999999</v>
      </c>
      <c r="H221">
        <f>MATCH(B221,{"January","February","March","April","May","June","July","August","September","October","November","December"},0)</f>
        <v>2</v>
      </c>
      <c r="I221" s="9">
        <f t="shared" si="10"/>
        <v>43497</v>
      </c>
      <c r="J221" t="str">
        <f t="shared" si="11"/>
        <v>Pre Covid</v>
      </c>
      <c r="K221">
        <v>141</v>
      </c>
      <c r="L221" t="e">
        <f t="shared" si="12"/>
        <v>#N/A</v>
      </c>
    </row>
    <row r="222" spans="1:12" x14ac:dyDescent="0.3">
      <c r="A222">
        <v>2019</v>
      </c>
      <c r="B222" t="s">
        <v>34</v>
      </c>
      <c r="C222">
        <v>1754.4</v>
      </c>
      <c r="D222">
        <v>138.5</v>
      </c>
      <c r="E222">
        <v>422.20000000000005</v>
      </c>
      <c r="F222">
        <v>297.10000000000002</v>
      </c>
      <c r="G222">
        <v>936.7</v>
      </c>
      <c r="H222">
        <f>MATCH(B222,{"January","February","March","April","May","June","July","August","September","October","November","December"},0)</f>
        <v>2</v>
      </c>
      <c r="I222" s="9">
        <f t="shared" si="10"/>
        <v>43497</v>
      </c>
      <c r="J222" t="str">
        <f t="shared" si="11"/>
        <v>Pre Covid</v>
      </c>
      <c r="K222">
        <v>138.6</v>
      </c>
      <c r="L222" t="e">
        <f t="shared" si="12"/>
        <v>#N/A</v>
      </c>
    </row>
    <row r="223" spans="1:12" x14ac:dyDescent="0.3">
      <c r="A223">
        <v>2019</v>
      </c>
      <c r="B223" t="s">
        <v>34</v>
      </c>
      <c r="C223">
        <v>1757.1</v>
      </c>
      <c r="D223">
        <v>145.6</v>
      </c>
      <c r="E223">
        <v>437.2</v>
      </c>
      <c r="F223">
        <v>300.5</v>
      </c>
      <c r="G223">
        <v>972.99999999999989</v>
      </c>
      <c r="H223">
        <f>MATCH(B223,{"January","February","March","April","May","June","July","August","September","October","November","December"},0)</f>
        <v>2</v>
      </c>
      <c r="I223" s="9">
        <f t="shared" si="10"/>
        <v>43497</v>
      </c>
      <c r="J223" t="str">
        <f t="shared" si="11"/>
        <v>Pre Covid</v>
      </c>
      <c r="K223">
        <v>139.9</v>
      </c>
      <c r="L223" t="e">
        <f t="shared" si="12"/>
        <v>#N/A</v>
      </c>
    </row>
    <row r="224" spans="1:12" x14ac:dyDescent="0.3">
      <c r="A224">
        <v>2019</v>
      </c>
      <c r="B224" t="s">
        <v>35</v>
      </c>
      <c r="C224">
        <v>1761.2000000000003</v>
      </c>
      <c r="D224">
        <v>150.4</v>
      </c>
      <c r="E224">
        <v>450.9</v>
      </c>
      <c r="F224">
        <v>306.70000000000005</v>
      </c>
      <c r="G224">
        <v>1003.3</v>
      </c>
      <c r="H224">
        <f>MATCH(B224,{"January","February","March","April","May","June","July","August","September","October","November","December"},0)</f>
        <v>3</v>
      </c>
      <c r="I224" s="9">
        <f t="shared" si="10"/>
        <v>43525</v>
      </c>
      <c r="J224" t="str">
        <f t="shared" si="11"/>
        <v>Pre Covid</v>
      </c>
      <c r="K224">
        <v>141.19999999999999</v>
      </c>
      <c r="L224" t="e">
        <f t="shared" si="12"/>
        <v>#N/A</v>
      </c>
    </row>
    <row r="225" spans="1:12" x14ac:dyDescent="0.3">
      <c r="A225">
        <v>2019</v>
      </c>
      <c r="B225" t="s">
        <v>35</v>
      </c>
      <c r="C225">
        <v>1768.4</v>
      </c>
      <c r="D225">
        <v>139.19999999999999</v>
      </c>
      <c r="E225">
        <v>424.5</v>
      </c>
      <c r="F225">
        <v>298.3</v>
      </c>
      <c r="G225">
        <v>938.3</v>
      </c>
      <c r="H225">
        <f>MATCH(B225,{"January","February","March","April","May","June","July","August","September","October","November","December"},0)</f>
        <v>3</v>
      </c>
      <c r="I225" s="9">
        <f t="shared" si="10"/>
        <v>43525</v>
      </c>
      <c r="J225" t="str">
        <f t="shared" si="11"/>
        <v>Pre Covid</v>
      </c>
      <c r="K225">
        <v>139.5</v>
      </c>
      <c r="L225" t="e">
        <f t="shared" si="12"/>
        <v>#N/A</v>
      </c>
    </row>
    <row r="226" spans="1:12" x14ac:dyDescent="0.3">
      <c r="A226">
        <v>2019</v>
      </c>
      <c r="B226" t="s">
        <v>35</v>
      </c>
      <c r="C226">
        <v>1762.9</v>
      </c>
      <c r="D226">
        <v>146.19999999999999</v>
      </c>
      <c r="E226">
        <v>439</v>
      </c>
      <c r="F226">
        <v>301.2</v>
      </c>
      <c r="G226">
        <v>974</v>
      </c>
      <c r="H226">
        <f>MATCH(B226,{"January","February","March","April","May","June","July","August","September","October","November","December"},0)</f>
        <v>3</v>
      </c>
      <c r="I226" s="9">
        <f t="shared" si="10"/>
        <v>43525</v>
      </c>
      <c r="J226" t="str">
        <f t="shared" si="11"/>
        <v>Pre Covid</v>
      </c>
      <c r="K226">
        <v>140.4</v>
      </c>
      <c r="L226" t="e">
        <f t="shared" si="12"/>
        <v>#N/A</v>
      </c>
    </row>
    <row r="227" spans="1:12" x14ac:dyDescent="0.3">
      <c r="A227">
        <v>2019</v>
      </c>
      <c r="B227" t="s">
        <v>37</v>
      </c>
      <c r="C227">
        <v>1782.1000000000001</v>
      </c>
      <c r="D227">
        <v>151.30000000000001</v>
      </c>
      <c r="E227">
        <v>453.7</v>
      </c>
      <c r="F227">
        <v>309.20000000000005</v>
      </c>
      <c r="G227">
        <v>1005.0999999999999</v>
      </c>
      <c r="H227">
        <f>MATCH(B227,{"January","February","March","April","May","June","July","August","September","October","November","December"},0)</f>
        <v>5</v>
      </c>
      <c r="I227" s="9">
        <f t="shared" si="10"/>
        <v>43586</v>
      </c>
      <c r="J227" t="str">
        <f t="shared" si="11"/>
        <v>Pre Covid</v>
      </c>
      <c r="K227">
        <v>142.4</v>
      </c>
      <c r="L227" t="e">
        <f t="shared" si="12"/>
        <v>#N/A</v>
      </c>
    </row>
    <row r="228" spans="1:12" x14ac:dyDescent="0.3">
      <c r="A228">
        <v>2019</v>
      </c>
      <c r="B228" t="s">
        <v>37</v>
      </c>
      <c r="C228">
        <v>1811.5000000000002</v>
      </c>
      <c r="D228">
        <v>139.80000000000001</v>
      </c>
      <c r="E228">
        <v>427.5</v>
      </c>
      <c r="F228">
        <v>300.2</v>
      </c>
      <c r="G228">
        <v>941.09999999999991</v>
      </c>
      <c r="H228">
        <f>MATCH(B228,{"January","February","March","April","May","June","July","August","September","October","November","December"},0)</f>
        <v>5</v>
      </c>
      <c r="I228" s="9">
        <f t="shared" si="10"/>
        <v>43586</v>
      </c>
      <c r="J228" t="str">
        <f t="shared" si="11"/>
        <v>Pre Covid</v>
      </c>
      <c r="K228">
        <v>141.5</v>
      </c>
      <c r="L228" t="e">
        <f t="shared" si="12"/>
        <v>#N/A</v>
      </c>
    </row>
    <row r="229" spans="1:12" x14ac:dyDescent="0.3">
      <c r="A229">
        <v>2019</v>
      </c>
      <c r="B229" t="s">
        <v>37</v>
      </c>
      <c r="C229">
        <v>1791.9000000000003</v>
      </c>
      <c r="D229">
        <v>146.9</v>
      </c>
      <c r="E229">
        <v>442</v>
      </c>
      <c r="F229">
        <v>303.29999999999995</v>
      </c>
      <c r="G229">
        <v>976.3</v>
      </c>
      <c r="H229">
        <f>MATCH(B229,{"January","February","March","April","May","June","July","August","September","October","November","December"},0)</f>
        <v>5</v>
      </c>
      <c r="I229" s="9">
        <f t="shared" si="10"/>
        <v>43586</v>
      </c>
      <c r="J229" t="str">
        <f t="shared" si="11"/>
        <v>Pre Covid</v>
      </c>
      <c r="K229">
        <v>142</v>
      </c>
      <c r="L229" t="e">
        <f t="shared" si="12"/>
        <v>#N/A</v>
      </c>
    </row>
    <row r="230" spans="1:12" x14ac:dyDescent="0.3">
      <c r="A230">
        <v>2019</v>
      </c>
      <c r="B230" t="s">
        <v>38</v>
      </c>
      <c r="C230">
        <v>1804.1999999999998</v>
      </c>
      <c r="D230">
        <v>151.69999999999999</v>
      </c>
      <c r="E230">
        <v>454.90000000000003</v>
      </c>
      <c r="F230">
        <v>310.60000000000002</v>
      </c>
      <c r="G230">
        <v>1006.4999999999998</v>
      </c>
      <c r="H230">
        <f>MATCH(B230,{"January","February","March","April","May","June","July","August","September","October","November","December"},0)</f>
        <v>6</v>
      </c>
      <c r="I230" s="9">
        <f t="shared" si="10"/>
        <v>43617</v>
      </c>
      <c r="J230" t="str">
        <f t="shared" si="11"/>
        <v>Pre Covid</v>
      </c>
      <c r="K230">
        <v>143.6</v>
      </c>
      <c r="L230" t="e">
        <f t="shared" si="12"/>
        <v>#N/A</v>
      </c>
    </row>
    <row r="231" spans="1:12" x14ac:dyDescent="0.3">
      <c r="A231">
        <v>2019</v>
      </c>
      <c r="B231" t="s">
        <v>38</v>
      </c>
      <c r="C231">
        <v>1833.2999999999997</v>
      </c>
      <c r="D231">
        <v>140.30000000000001</v>
      </c>
      <c r="E231">
        <v>428.79999999999995</v>
      </c>
      <c r="F231">
        <v>301</v>
      </c>
      <c r="G231">
        <v>942.69999999999993</v>
      </c>
      <c r="H231">
        <f>MATCH(B231,{"January","February","March","April","May","June","July","August","September","October","November","December"},0)</f>
        <v>6</v>
      </c>
      <c r="I231" s="9">
        <f t="shared" si="10"/>
        <v>43617</v>
      </c>
      <c r="J231" t="str">
        <f t="shared" si="11"/>
        <v>Pre Covid</v>
      </c>
      <c r="K231">
        <v>142.1</v>
      </c>
      <c r="L231" t="e">
        <f t="shared" si="12"/>
        <v>#N/A</v>
      </c>
    </row>
    <row r="232" spans="1:12" x14ac:dyDescent="0.3">
      <c r="A232">
        <v>2019</v>
      </c>
      <c r="B232" t="s">
        <v>38</v>
      </c>
      <c r="C232">
        <v>1814.1000000000001</v>
      </c>
      <c r="D232">
        <v>147.4</v>
      </c>
      <c r="E232">
        <v>443.1</v>
      </c>
      <c r="F232">
        <v>304.5</v>
      </c>
      <c r="G232">
        <v>977.70000000000016</v>
      </c>
      <c r="H232">
        <f>MATCH(B232,{"January","February","March","April","May","June","July","August","September","October","November","December"},0)</f>
        <v>6</v>
      </c>
      <c r="I232" s="9">
        <f t="shared" si="10"/>
        <v>43617</v>
      </c>
      <c r="J232" t="str">
        <f t="shared" si="11"/>
        <v>Pre Covid</v>
      </c>
      <c r="K232">
        <v>142.9</v>
      </c>
      <c r="L232" t="e">
        <f t="shared" si="12"/>
        <v>#N/A</v>
      </c>
    </row>
    <row r="233" spans="1:12" x14ac:dyDescent="0.3">
      <c r="A233">
        <v>2019</v>
      </c>
      <c r="B233" t="s">
        <v>39</v>
      </c>
      <c r="C233">
        <v>1826.8999999999999</v>
      </c>
      <c r="D233">
        <v>152.19999999999999</v>
      </c>
      <c r="E233">
        <v>456.5</v>
      </c>
      <c r="F233">
        <v>312</v>
      </c>
      <c r="G233">
        <v>1010.5999999999999</v>
      </c>
      <c r="H233">
        <f>MATCH(B233,{"January","February","March","April","May","June","July","August","September","October","November","December"},0)</f>
        <v>7</v>
      </c>
      <c r="I233" s="9">
        <f t="shared" si="10"/>
        <v>43647</v>
      </c>
      <c r="J233" t="str">
        <f t="shared" si="11"/>
        <v>Pre Covid</v>
      </c>
      <c r="K233">
        <v>144.9</v>
      </c>
      <c r="L233" t="e">
        <f t="shared" si="12"/>
        <v>#N/A</v>
      </c>
    </row>
    <row r="234" spans="1:12" x14ac:dyDescent="0.3">
      <c r="A234">
        <v>2019</v>
      </c>
      <c r="B234" t="s">
        <v>39</v>
      </c>
      <c r="C234">
        <v>1857.3999999999999</v>
      </c>
      <c r="D234">
        <v>140.80000000000001</v>
      </c>
      <c r="E234">
        <v>428</v>
      </c>
      <c r="F234">
        <v>302.2</v>
      </c>
      <c r="G234">
        <v>947.2</v>
      </c>
      <c r="H234">
        <f>MATCH(B234,{"January","February","March","April","May","June","July","August","September","October","November","December"},0)</f>
        <v>7</v>
      </c>
      <c r="I234" s="9">
        <f t="shared" si="10"/>
        <v>43647</v>
      </c>
      <c r="J234" t="str">
        <f t="shared" si="11"/>
        <v>Pre Covid</v>
      </c>
      <c r="K234">
        <v>143.30000000000001</v>
      </c>
      <c r="L234" t="e">
        <f t="shared" si="12"/>
        <v>#N/A</v>
      </c>
    </row>
    <row r="235" spans="1:12" x14ac:dyDescent="0.3">
      <c r="A235">
        <v>2019</v>
      </c>
      <c r="B235" t="s">
        <v>39</v>
      </c>
      <c r="C235">
        <v>1837.5</v>
      </c>
      <c r="D235">
        <v>147.9</v>
      </c>
      <c r="E235">
        <v>443.9</v>
      </c>
      <c r="F235">
        <v>305.7</v>
      </c>
      <c r="G235">
        <v>982</v>
      </c>
      <c r="H235">
        <f>MATCH(B235,{"January","February","March","April","May","June","July","August","September","October","November","December"},0)</f>
        <v>7</v>
      </c>
      <c r="I235" s="9">
        <f t="shared" si="10"/>
        <v>43647</v>
      </c>
      <c r="J235" t="str">
        <f t="shared" si="11"/>
        <v>Pre Covid</v>
      </c>
      <c r="K235">
        <v>144.19999999999999</v>
      </c>
      <c r="L235" t="e">
        <f t="shared" si="12"/>
        <v>#N/A</v>
      </c>
    </row>
    <row r="236" spans="1:12" x14ac:dyDescent="0.3">
      <c r="A236">
        <v>2019</v>
      </c>
      <c r="B236" t="s">
        <v>40</v>
      </c>
      <c r="C236">
        <v>1834.5000000000002</v>
      </c>
      <c r="D236">
        <v>152.69999999999999</v>
      </c>
      <c r="E236">
        <v>457.7</v>
      </c>
      <c r="F236">
        <v>313.10000000000002</v>
      </c>
      <c r="G236">
        <v>1014.8000000000001</v>
      </c>
      <c r="H236">
        <f>MATCH(B236,{"January","February","March","April","May","June","July","August","September","October","November","December"},0)</f>
        <v>8</v>
      </c>
      <c r="I236" s="9">
        <f t="shared" si="10"/>
        <v>43678</v>
      </c>
      <c r="J236" t="str">
        <f t="shared" si="11"/>
        <v>Pre Covid</v>
      </c>
      <c r="K236">
        <v>145.69999999999999</v>
      </c>
      <c r="L236" t="e">
        <f t="shared" si="12"/>
        <v>#N/A</v>
      </c>
    </row>
    <row r="237" spans="1:12" x14ac:dyDescent="0.3">
      <c r="A237">
        <v>2019</v>
      </c>
      <c r="B237" t="s">
        <v>40</v>
      </c>
      <c r="C237">
        <v>1869.1</v>
      </c>
      <c r="D237">
        <v>141.5</v>
      </c>
      <c r="E237">
        <v>428.6</v>
      </c>
      <c r="F237">
        <v>303.3</v>
      </c>
      <c r="G237">
        <v>952.19999999999982</v>
      </c>
      <c r="H237">
        <f>MATCH(B237,{"January","February","March","April","May","June","July","August","September","October","November","December"},0)</f>
        <v>8</v>
      </c>
      <c r="I237" s="9">
        <f t="shared" si="10"/>
        <v>43678</v>
      </c>
      <c r="J237" t="str">
        <f t="shared" si="11"/>
        <v>Pre Covid</v>
      </c>
      <c r="K237">
        <v>144.19999999999999</v>
      </c>
      <c r="L237" t="e">
        <f t="shared" si="12"/>
        <v>#N/A</v>
      </c>
    </row>
    <row r="238" spans="1:12" x14ac:dyDescent="0.3">
      <c r="A238">
        <v>2019</v>
      </c>
      <c r="B238" t="s">
        <v>40</v>
      </c>
      <c r="C238">
        <v>1846.5</v>
      </c>
      <c r="D238">
        <v>148.5</v>
      </c>
      <c r="E238">
        <v>445</v>
      </c>
      <c r="F238">
        <v>306.70000000000005</v>
      </c>
      <c r="G238">
        <v>986.5</v>
      </c>
      <c r="H238">
        <f>MATCH(B238,{"January","February","March","April","May","June","July","August","September","October","November","December"},0)</f>
        <v>8</v>
      </c>
      <c r="I238" s="9">
        <f t="shared" si="10"/>
        <v>43678</v>
      </c>
      <c r="J238" t="str">
        <f t="shared" si="11"/>
        <v>Pre Covid</v>
      </c>
      <c r="K238">
        <v>145</v>
      </c>
      <c r="L238" t="e">
        <f t="shared" si="12"/>
        <v>#N/A</v>
      </c>
    </row>
    <row r="239" spans="1:12" x14ac:dyDescent="0.3">
      <c r="A239">
        <v>2019</v>
      </c>
      <c r="B239" t="s">
        <v>41</v>
      </c>
      <c r="C239">
        <v>1848.7</v>
      </c>
      <c r="D239">
        <v>153.4</v>
      </c>
      <c r="E239">
        <v>459.3</v>
      </c>
      <c r="F239">
        <v>314</v>
      </c>
      <c r="G239">
        <v>1016.7999999999998</v>
      </c>
      <c r="H239">
        <f>MATCH(B239,{"January","February","March","April","May","June","July","August","September","October","November","December"},0)</f>
        <v>9</v>
      </c>
      <c r="I239" s="9">
        <f t="shared" si="10"/>
        <v>43709</v>
      </c>
      <c r="J239" t="str">
        <f t="shared" si="11"/>
        <v>Pre Covid</v>
      </c>
      <c r="K239">
        <v>146.69999999999999</v>
      </c>
      <c r="L239" t="e">
        <f t="shared" si="12"/>
        <v>#N/A</v>
      </c>
    </row>
    <row r="240" spans="1:12" x14ac:dyDescent="0.3">
      <c r="A240">
        <v>2019</v>
      </c>
      <c r="B240" t="s">
        <v>41</v>
      </c>
      <c r="C240">
        <v>1874.9</v>
      </c>
      <c r="D240">
        <v>141.9</v>
      </c>
      <c r="E240">
        <v>430.4</v>
      </c>
      <c r="F240">
        <v>304.5</v>
      </c>
      <c r="G240">
        <v>955</v>
      </c>
      <c r="H240">
        <f>MATCH(B240,{"January","February","March","April","May","June","July","August","September","October","November","December"},0)</f>
        <v>9</v>
      </c>
      <c r="I240" s="9">
        <f t="shared" si="10"/>
        <v>43709</v>
      </c>
      <c r="J240" t="str">
        <f t="shared" si="11"/>
        <v>Pre Covid</v>
      </c>
      <c r="K240">
        <v>144.69999999999999</v>
      </c>
      <c r="L240" t="e">
        <f t="shared" si="12"/>
        <v>#N/A</v>
      </c>
    </row>
    <row r="241" spans="1:12" x14ac:dyDescent="0.3">
      <c r="A241">
        <v>2019</v>
      </c>
      <c r="B241" t="s">
        <v>41</v>
      </c>
      <c r="C241">
        <v>1857.6999999999998</v>
      </c>
      <c r="D241">
        <v>149</v>
      </c>
      <c r="E241">
        <v>446.59999999999997</v>
      </c>
      <c r="F241">
        <v>307.8</v>
      </c>
      <c r="G241">
        <v>988.8</v>
      </c>
      <c r="H241">
        <f>MATCH(B241,{"January","February","March","April","May","June","July","August","September","October","November","December"},0)</f>
        <v>9</v>
      </c>
      <c r="I241" s="9">
        <f t="shared" si="10"/>
        <v>43709</v>
      </c>
      <c r="J241" t="str">
        <f t="shared" si="11"/>
        <v>Pre Covid</v>
      </c>
      <c r="K241">
        <v>145.80000000000001</v>
      </c>
      <c r="L241" t="e">
        <f t="shared" si="12"/>
        <v>#N/A</v>
      </c>
    </row>
    <row r="242" spans="1:12" x14ac:dyDescent="0.3">
      <c r="A242">
        <v>2019</v>
      </c>
      <c r="B242" t="s">
        <v>42</v>
      </c>
      <c r="C242">
        <v>1876.8999999999996</v>
      </c>
      <c r="D242">
        <v>153.69999999999999</v>
      </c>
      <c r="E242">
        <v>461.4</v>
      </c>
      <c r="F242">
        <v>315</v>
      </c>
      <c r="G242">
        <v>1017.7</v>
      </c>
      <c r="H242">
        <f>MATCH(B242,{"January","February","March","April","May","June","July","August","September","October","November","December"},0)</f>
        <v>10</v>
      </c>
      <c r="I242" s="9">
        <f t="shared" si="10"/>
        <v>43739</v>
      </c>
      <c r="J242" t="str">
        <f t="shared" si="11"/>
        <v>Pre Covid</v>
      </c>
      <c r="K242">
        <v>148.30000000000001</v>
      </c>
      <c r="L242" t="e">
        <f t="shared" si="12"/>
        <v>#N/A</v>
      </c>
    </row>
    <row r="243" spans="1:12" x14ac:dyDescent="0.3">
      <c r="A243">
        <v>2019</v>
      </c>
      <c r="B243" t="s">
        <v>42</v>
      </c>
      <c r="C243">
        <v>1902.6000000000001</v>
      </c>
      <c r="D243">
        <v>142.4</v>
      </c>
      <c r="E243">
        <v>433.59999999999997</v>
      </c>
      <c r="F243">
        <v>305.5</v>
      </c>
      <c r="G243">
        <v>957.90000000000009</v>
      </c>
      <c r="H243">
        <f>MATCH(B243,{"January","February","March","April","May","June","July","August","September","October","November","December"},0)</f>
        <v>10</v>
      </c>
      <c r="I243" s="9">
        <f t="shared" si="10"/>
        <v>43739</v>
      </c>
      <c r="J243" t="str">
        <f t="shared" si="11"/>
        <v>Pre Covid</v>
      </c>
      <c r="K243">
        <v>146</v>
      </c>
      <c r="L243" t="e">
        <f t="shared" si="12"/>
        <v>#N/A</v>
      </c>
    </row>
    <row r="244" spans="1:12" x14ac:dyDescent="0.3">
      <c r="A244">
        <v>2019</v>
      </c>
      <c r="B244" t="s">
        <v>42</v>
      </c>
      <c r="C244">
        <v>1885.5999999999997</v>
      </c>
      <c r="D244">
        <v>149.4</v>
      </c>
      <c r="E244">
        <v>449</v>
      </c>
      <c r="F244">
        <v>308.79999999999995</v>
      </c>
      <c r="G244">
        <v>990.7</v>
      </c>
      <c r="H244">
        <f>MATCH(B244,{"January","February","March","April","May","June","July","August","September","October","November","December"},0)</f>
        <v>10</v>
      </c>
      <c r="I244" s="9">
        <f t="shared" si="10"/>
        <v>43739</v>
      </c>
      <c r="J244" t="str">
        <f t="shared" si="11"/>
        <v>Pre Covid</v>
      </c>
      <c r="K244">
        <v>147.19999999999999</v>
      </c>
      <c r="L244" t="e">
        <f t="shared" si="12"/>
        <v>#N/A</v>
      </c>
    </row>
    <row r="245" spans="1:12" x14ac:dyDescent="0.3">
      <c r="A245">
        <v>2019</v>
      </c>
      <c r="B245" t="s">
        <v>44</v>
      </c>
      <c r="C245">
        <v>1904.6000000000001</v>
      </c>
      <c r="D245">
        <v>154.30000000000001</v>
      </c>
      <c r="E245">
        <v>462.7</v>
      </c>
      <c r="F245">
        <v>316.29999999999995</v>
      </c>
      <c r="G245">
        <v>1020.5000000000001</v>
      </c>
      <c r="H245">
        <f>MATCH(B245,{"January","February","March","April","May","June","July","August","September","October","November","December"},0)</f>
        <v>11</v>
      </c>
      <c r="I245" s="9">
        <f t="shared" si="10"/>
        <v>43770</v>
      </c>
      <c r="J245" t="str">
        <f t="shared" si="11"/>
        <v>Pre Covid</v>
      </c>
      <c r="K245">
        <v>149.9</v>
      </c>
      <c r="L245" t="e">
        <f t="shared" si="12"/>
        <v>#N/A</v>
      </c>
    </row>
    <row r="246" spans="1:12" x14ac:dyDescent="0.3">
      <c r="A246">
        <v>2019</v>
      </c>
      <c r="B246" t="s">
        <v>44</v>
      </c>
      <c r="C246">
        <v>1923.9999999999998</v>
      </c>
      <c r="D246">
        <v>142.80000000000001</v>
      </c>
      <c r="E246">
        <v>437.5</v>
      </c>
      <c r="F246">
        <v>306.60000000000002</v>
      </c>
      <c r="G246">
        <v>960</v>
      </c>
      <c r="H246">
        <f>MATCH(B246,{"January","February","March","April","May","June","July","August","September","October","November","December"},0)</f>
        <v>11</v>
      </c>
      <c r="I246" s="9">
        <f t="shared" si="10"/>
        <v>43770</v>
      </c>
      <c r="J246" t="str">
        <f t="shared" si="11"/>
        <v>Pre Covid</v>
      </c>
      <c r="K246">
        <v>147</v>
      </c>
      <c r="L246" t="e">
        <f t="shared" si="12"/>
        <v>#N/A</v>
      </c>
    </row>
    <row r="247" spans="1:12" x14ac:dyDescent="0.3">
      <c r="A247">
        <v>2019</v>
      </c>
      <c r="B247" t="s">
        <v>44</v>
      </c>
      <c r="C247">
        <v>1910.9</v>
      </c>
      <c r="D247">
        <v>149.9</v>
      </c>
      <c r="E247">
        <v>451.3</v>
      </c>
      <c r="F247">
        <v>310</v>
      </c>
      <c r="G247">
        <v>993</v>
      </c>
      <c r="H247">
        <f>MATCH(B247,{"January","February","March","April","May","June","July","August","September","October","November","December"},0)</f>
        <v>11</v>
      </c>
      <c r="I247" s="9">
        <f t="shared" si="10"/>
        <v>43770</v>
      </c>
      <c r="J247" t="str">
        <f t="shared" si="11"/>
        <v>Pre Covid</v>
      </c>
      <c r="K247">
        <v>148.6</v>
      </c>
      <c r="L247" t="e">
        <f t="shared" si="12"/>
        <v>#N/A</v>
      </c>
    </row>
    <row r="248" spans="1:12" x14ac:dyDescent="0.3">
      <c r="A248">
        <v>2019</v>
      </c>
      <c r="B248" t="s">
        <v>45</v>
      </c>
      <c r="C248">
        <v>1940.9999999999995</v>
      </c>
      <c r="D248">
        <v>154.80000000000001</v>
      </c>
      <c r="E248">
        <v>463.80000000000007</v>
      </c>
      <c r="F248">
        <v>317.3</v>
      </c>
      <c r="G248">
        <v>1025.7</v>
      </c>
      <c r="H248">
        <f>MATCH(B248,{"January","February","March","April","May","June","July","August","September","October","November","December"},0)</f>
        <v>12</v>
      </c>
      <c r="I248" s="9">
        <f t="shared" si="10"/>
        <v>43800</v>
      </c>
      <c r="J248" t="str">
        <f t="shared" si="11"/>
        <v>Pre Covid</v>
      </c>
      <c r="K248">
        <v>152.30000000000001</v>
      </c>
      <c r="L248" t="e">
        <f t="shared" si="12"/>
        <v>#N/A</v>
      </c>
    </row>
    <row r="249" spans="1:12" x14ac:dyDescent="0.3">
      <c r="A249">
        <v>2019</v>
      </c>
      <c r="B249" t="s">
        <v>45</v>
      </c>
      <c r="C249">
        <v>1956.7</v>
      </c>
      <c r="D249">
        <v>143.19999999999999</v>
      </c>
      <c r="E249">
        <v>438.29999999999995</v>
      </c>
      <c r="F249">
        <v>307.20000000000005</v>
      </c>
      <c r="G249">
        <v>967.10000000000014</v>
      </c>
      <c r="H249">
        <f>MATCH(B249,{"January","February","March","April","May","June","July","August","September","October","November","December"},0)</f>
        <v>12</v>
      </c>
      <c r="I249" s="9">
        <f t="shared" si="10"/>
        <v>43800</v>
      </c>
      <c r="J249" t="str">
        <f t="shared" si="11"/>
        <v>Pre Covid</v>
      </c>
      <c r="K249">
        <v>148.30000000000001</v>
      </c>
      <c r="L249" t="e">
        <f t="shared" si="12"/>
        <v>#N/A</v>
      </c>
    </row>
    <row r="250" spans="1:12" x14ac:dyDescent="0.3">
      <c r="A250">
        <v>2019</v>
      </c>
      <c r="B250" t="s">
        <v>45</v>
      </c>
      <c r="C250">
        <v>1946.1000000000001</v>
      </c>
      <c r="D250">
        <v>150.4</v>
      </c>
      <c r="E250">
        <v>452.2</v>
      </c>
      <c r="F250">
        <v>310.8</v>
      </c>
      <c r="G250">
        <v>999.1</v>
      </c>
      <c r="H250">
        <f>MATCH(B250,{"January","February","March","April","May","June","July","August","September","October","November","December"},0)</f>
        <v>12</v>
      </c>
      <c r="I250" s="9">
        <f t="shared" si="10"/>
        <v>43800</v>
      </c>
      <c r="J250" t="str">
        <f t="shared" si="11"/>
        <v>Pre Covid</v>
      </c>
      <c r="K250">
        <v>150.4</v>
      </c>
      <c r="L250" t="e">
        <f t="shared" si="12"/>
        <v>#N/A</v>
      </c>
    </row>
    <row r="251" spans="1:12" x14ac:dyDescent="0.3">
      <c r="A251">
        <v>2020</v>
      </c>
      <c r="B251" t="s">
        <v>31</v>
      </c>
      <c r="C251">
        <v>1938.6</v>
      </c>
      <c r="D251">
        <v>155.69999999999999</v>
      </c>
      <c r="E251">
        <v>466</v>
      </c>
      <c r="F251">
        <v>318.7</v>
      </c>
      <c r="G251">
        <v>1030.8999999999999</v>
      </c>
      <c r="H251">
        <f>MATCH(B251,{"January","February","March","April","May","June","July","August","September","October","November","December"},0)</f>
        <v>1</v>
      </c>
      <c r="I251" s="9">
        <f t="shared" si="10"/>
        <v>43831</v>
      </c>
      <c r="J251" t="str">
        <f t="shared" si="11"/>
        <v>Pre Covid</v>
      </c>
      <c r="K251">
        <v>151.9</v>
      </c>
      <c r="L251" t="e">
        <f t="shared" si="12"/>
        <v>#N/A</v>
      </c>
    </row>
    <row r="252" spans="1:12" x14ac:dyDescent="0.3">
      <c r="A252">
        <v>2020</v>
      </c>
      <c r="B252" t="s">
        <v>31</v>
      </c>
      <c r="C252">
        <v>1945.3999999999999</v>
      </c>
      <c r="D252">
        <v>143.80000000000001</v>
      </c>
      <c r="E252">
        <v>441.1</v>
      </c>
      <c r="F252">
        <v>308</v>
      </c>
      <c r="G252">
        <v>971.80000000000007</v>
      </c>
      <c r="H252">
        <f>MATCH(B252,{"January","February","March","April","May","June","July","August","September","October","November","December"},0)</f>
        <v>1</v>
      </c>
      <c r="I252" s="9">
        <f t="shared" si="10"/>
        <v>43831</v>
      </c>
      <c r="J252" t="str">
        <f t="shared" si="11"/>
        <v>Pre Covid</v>
      </c>
      <c r="K252">
        <v>148.19999999999999</v>
      </c>
      <c r="L252" t="e">
        <f t="shared" si="12"/>
        <v>#N/A</v>
      </c>
    </row>
    <row r="253" spans="1:12" x14ac:dyDescent="0.3">
      <c r="A253">
        <v>2020</v>
      </c>
      <c r="B253" t="s">
        <v>31</v>
      </c>
      <c r="C253">
        <v>1940.3999999999999</v>
      </c>
      <c r="D253">
        <v>151.19999999999999</v>
      </c>
      <c r="E253">
        <v>454.6</v>
      </c>
      <c r="F253">
        <v>312</v>
      </c>
      <c r="G253">
        <v>1003.9999999999999</v>
      </c>
      <c r="H253">
        <f>MATCH(B253,{"January","February","March","April","May","June","July","August","September","October","November","December"},0)</f>
        <v>1</v>
      </c>
      <c r="I253" s="9">
        <f t="shared" si="10"/>
        <v>43831</v>
      </c>
      <c r="J253" t="str">
        <f t="shared" si="11"/>
        <v>Pre Covid</v>
      </c>
      <c r="K253">
        <v>150.19999999999999</v>
      </c>
      <c r="L253" t="e">
        <f t="shared" si="12"/>
        <v>#N/A</v>
      </c>
    </row>
    <row r="254" spans="1:12" x14ac:dyDescent="0.3">
      <c r="A254">
        <v>2020</v>
      </c>
      <c r="B254" t="s">
        <v>34</v>
      </c>
      <c r="C254">
        <v>1909.7999999999997</v>
      </c>
      <c r="D254">
        <v>156.19999999999999</v>
      </c>
      <c r="E254">
        <v>469</v>
      </c>
      <c r="F254">
        <v>319.8</v>
      </c>
      <c r="G254">
        <v>1032.4000000000001</v>
      </c>
      <c r="H254">
        <f>MATCH(B254,{"January","February","March","April","May","June","July","August","September","October","November","December"},0)</f>
        <v>2</v>
      </c>
      <c r="I254" s="9">
        <f t="shared" si="10"/>
        <v>43862</v>
      </c>
      <c r="J254" t="str">
        <f t="shared" si="11"/>
        <v>Pre Covid</v>
      </c>
      <c r="K254">
        <v>150.4</v>
      </c>
      <c r="L254" t="e">
        <f t="shared" si="12"/>
        <v>#N/A</v>
      </c>
    </row>
    <row r="255" spans="1:12" x14ac:dyDescent="0.3">
      <c r="A255">
        <v>2020</v>
      </c>
      <c r="B255" t="s">
        <v>34</v>
      </c>
      <c r="C255">
        <v>1916.6</v>
      </c>
      <c r="D255">
        <v>144.4</v>
      </c>
      <c r="E255">
        <v>445.90000000000003</v>
      </c>
      <c r="F255">
        <v>309.7</v>
      </c>
      <c r="G255">
        <v>973.5</v>
      </c>
      <c r="H255">
        <f>MATCH(B255,{"January","February","March","April","May","June","July","August","September","October","November","December"},0)</f>
        <v>2</v>
      </c>
      <c r="I255" s="9">
        <f t="shared" si="10"/>
        <v>43862</v>
      </c>
      <c r="J255" t="str">
        <f t="shared" si="11"/>
        <v>Pre Covid</v>
      </c>
      <c r="K255">
        <v>147.69999999999999</v>
      </c>
      <c r="L255" t="e">
        <f t="shared" si="12"/>
        <v>#N/A</v>
      </c>
    </row>
    <row r="256" spans="1:12" x14ac:dyDescent="0.3">
      <c r="A256">
        <v>2020</v>
      </c>
      <c r="B256" t="s">
        <v>34</v>
      </c>
      <c r="C256">
        <v>1911.6</v>
      </c>
      <c r="D256">
        <v>151.69999999999999</v>
      </c>
      <c r="E256">
        <v>458.2</v>
      </c>
      <c r="F256">
        <v>313.29999999999995</v>
      </c>
      <c r="G256">
        <v>1005.7</v>
      </c>
      <c r="H256">
        <f>MATCH(B256,{"January","February","March","April","May","June","July","August","September","October","November","December"},0)</f>
        <v>2</v>
      </c>
      <c r="I256" s="9">
        <f t="shared" si="10"/>
        <v>43862</v>
      </c>
      <c r="J256" t="str">
        <f t="shared" si="11"/>
        <v>Pre Covid</v>
      </c>
      <c r="K256">
        <v>149.1</v>
      </c>
      <c r="L256" t="e">
        <f t="shared" si="12"/>
        <v>#N/A</v>
      </c>
    </row>
    <row r="257" spans="1:12" x14ac:dyDescent="0.3">
      <c r="A257">
        <v>2020</v>
      </c>
      <c r="B257" t="s">
        <v>35</v>
      </c>
      <c r="C257">
        <v>1894.5999999999997</v>
      </c>
      <c r="D257">
        <v>156.69999999999999</v>
      </c>
      <c r="E257">
        <v>469.09999999999997</v>
      </c>
      <c r="F257">
        <v>321.7</v>
      </c>
      <c r="G257">
        <v>1034.5</v>
      </c>
      <c r="H257">
        <f>MATCH(B257,{"January","February","March","April","May","June","July","August","September","October","November","December"},0)</f>
        <v>3</v>
      </c>
      <c r="I257" s="9">
        <f t="shared" si="10"/>
        <v>43891</v>
      </c>
      <c r="J257" t="str">
        <f t="shared" si="11"/>
        <v>Post Covid</v>
      </c>
      <c r="K257">
        <v>149.80000000000001</v>
      </c>
      <c r="L257">
        <f t="shared" si="12"/>
        <v>179.8</v>
      </c>
    </row>
    <row r="258" spans="1:12" x14ac:dyDescent="0.3">
      <c r="A258">
        <v>2020</v>
      </c>
      <c r="B258" t="s">
        <v>35</v>
      </c>
      <c r="C258">
        <v>1898.5</v>
      </c>
      <c r="D258">
        <v>145</v>
      </c>
      <c r="E258">
        <v>448.4</v>
      </c>
      <c r="F258">
        <v>311.20000000000005</v>
      </c>
      <c r="G258">
        <v>976.50000000000023</v>
      </c>
      <c r="H258">
        <f>MATCH(B258,{"January","February","March","April","May","June","July","August","September","October","November","December"},0)</f>
        <v>3</v>
      </c>
      <c r="I258" s="9">
        <f t="shared" si="10"/>
        <v>43891</v>
      </c>
      <c r="J258" t="str">
        <f t="shared" si="11"/>
        <v>Post Covid</v>
      </c>
      <c r="K258">
        <v>147.30000000000001</v>
      </c>
      <c r="L258">
        <f t="shared" si="12"/>
        <v>179.8</v>
      </c>
    </row>
    <row r="259" spans="1:12" x14ac:dyDescent="0.3">
      <c r="A259">
        <v>2020</v>
      </c>
      <c r="B259" t="s">
        <v>35</v>
      </c>
      <c r="C259">
        <v>1895.4</v>
      </c>
      <c r="D259">
        <v>152.30000000000001</v>
      </c>
      <c r="E259">
        <v>459.5</v>
      </c>
      <c r="F259">
        <v>314.89999999999998</v>
      </c>
      <c r="G259">
        <v>1008.2</v>
      </c>
      <c r="H259">
        <f>MATCH(B259,{"January","February","March","April","May","June","July","August","September","October","November","December"},0)</f>
        <v>3</v>
      </c>
      <c r="I259" s="9">
        <f t="shared" ref="I259:I322" si="13">DATE(A259,H259,1)</f>
        <v>43891</v>
      </c>
      <c r="J259" t="str">
        <f t="shared" ref="J259:J322" si="14">IF(I259&lt;DATE(2020,3,1),"Pre Covid","Post Covid")</f>
        <v>Post Covid</v>
      </c>
      <c r="K259">
        <v>148.6</v>
      </c>
      <c r="L259">
        <f t="shared" ref="L259:L322" si="15">IF(I259=DATE(2020,3,1),MAX(K259:K630),NA())</f>
        <v>179.8</v>
      </c>
    </row>
    <row r="260" spans="1:12" x14ac:dyDescent="0.3">
      <c r="A260">
        <v>2020</v>
      </c>
      <c r="B260" t="s">
        <v>36</v>
      </c>
      <c r="C260">
        <v>1941.55</v>
      </c>
      <c r="D260">
        <v>154.30000000000001</v>
      </c>
      <c r="E260">
        <v>465.55</v>
      </c>
      <c r="F260">
        <v>320.75</v>
      </c>
      <c r="G260">
        <v>1033.4499999999998</v>
      </c>
      <c r="H260">
        <f>MATCH(B260,{"January","February","March","April","May","June","July","August","September","October","November","December"},0)</f>
        <v>4</v>
      </c>
      <c r="I260" s="9">
        <f t="shared" si="13"/>
        <v>43922</v>
      </c>
      <c r="J260" t="str">
        <f t="shared" si="14"/>
        <v>Post Covid</v>
      </c>
      <c r="K260">
        <f t="shared" ref="K260:K265" si="16">AVERAGE(K257,K254)</f>
        <v>150.10000000000002</v>
      </c>
      <c r="L260" t="e">
        <f t="shared" si="15"/>
        <v>#N/A</v>
      </c>
    </row>
    <row r="261" spans="1:12" x14ac:dyDescent="0.3">
      <c r="A261">
        <v>2020</v>
      </c>
      <c r="B261" t="s">
        <v>36</v>
      </c>
      <c r="C261">
        <v>1963.3</v>
      </c>
      <c r="D261">
        <v>144.80000000000001</v>
      </c>
      <c r="E261">
        <v>445.04999999999995</v>
      </c>
      <c r="F261">
        <v>310.45000000000005</v>
      </c>
      <c r="G261">
        <v>975</v>
      </c>
      <c r="H261">
        <f>MATCH(B261,{"January","February","March","April","May","June","July","August","September","October","November","December"},0)</f>
        <v>4</v>
      </c>
      <c r="I261" s="9">
        <f t="shared" si="13"/>
        <v>43922</v>
      </c>
      <c r="J261" t="str">
        <f t="shared" si="14"/>
        <v>Post Covid</v>
      </c>
      <c r="K261">
        <f t="shared" si="16"/>
        <v>147.5</v>
      </c>
      <c r="L261" t="e">
        <f t="shared" si="15"/>
        <v>#N/A</v>
      </c>
    </row>
    <row r="262" spans="1:12" x14ac:dyDescent="0.3">
      <c r="A262">
        <v>2020</v>
      </c>
      <c r="B262" t="s">
        <v>36</v>
      </c>
      <c r="C262">
        <v>1949.3</v>
      </c>
      <c r="D262">
        <v>150.69999999999999</v>
      </c>
      <c r="E262">
        <v>455.84999999999997</v>
      </c>
      <c r="F262">
        <v>314.09999999999997</v>
      </c>
      <c r="G262">
        <v>1006.95</v>
      </c>
      <c r="H262">
        <f>MATCH(B262,{"January","February","March","April","May","June","July","August","September","October","November","December"},0)</f>
        <v>4</v>
      </c>
      <c r="I262" s="9">
        <f t="shared" si="13"/>
        <v>43922</v>
      </c>
      <c r="J262" t="str">
        <f t="shared" si="14"/>
        <v>Post Covid</v>
      </c>
      <c r="K262">
        <f t="shared" si="16"/>
        <v>148.85</v>
      </c>
      <c r="L262" t="e">
        <f t="shared" si="15"/>
        <v>#N/A</v>
      </c>
    </row>
    <row r="263" spans="1:12" x14ac:dyDescent="0.3">
      <c r="A263">
        <v>2020</v>
      </c>
      <c r="B263" t="s">
        <v>37</v>
      </c>
      <c r="C263">
        <v>1918.0749999999998</v>
      </c>
      <c r="D263">
        <f>AVERAGE(D260,D257)</f>
        <v>155.5</v>
      </c>
      <c r="E263">
        <v>312.27499999999998</v>
      </c>
      <c r="F263">
        <v>321.22500000000002</v>
      </c>
      <c r="G263">
        <v>1033.9749999999999</v>
      </c>
      <c r="H263">
        <f>MATCH(B263,{"January","February","March","April","May","June","July","August","September","October","November","December"},0)</f>
        <v>5</v>
      </c>
      <c r="I263" s="9">
        <f t="shared" si="13"/>
        <v>43952</v>
      </c>
      <c r="J263" t="str">
        <f t="shared" si="14"/>
        <v>Post Covid</v>
      </c>
      <c r="K263">
        <f t="shared" si="16"/>
        <v>149.95000000000002</v>
      </c>
      <c r="L263" t="e">
        <f t="shared" si="15"/>
        <v>#N/A</v>
      </c>
    </row>
    <row r="264" spans="1:12" x14ac:dyDescent="0.3">
      <c r="A264">
        <v>2020</v>
      </c>
      <c r="B264" t="s">
        <v>37</v>
      </c>
      <c r="C264">
        <v>1930.9</v>
      </c>
      <c r="D264">
        <f t="shared" ref="D264:D265" si="17">AVERAGE(D261,D258)</f>
        <v>144.9</v>
      </c>
      <c r="E264">
        <v>291.67500000000001</v>
      </c>
      <c r="F264">
        <v>310.82500000000005</v>
      </c>
      <c r="G264">
        <v>975.75000000000011</v>
      </c>
      <c r="H264">
        <f>MATCH(B264,{"January","February","March","April","May","June","July","August","September","October","November","December"},0)</f>
        <v>5</v>
      </c>
      <c r="I264" s="9">
        <f t="shared" si="13"/>
        <v>43952</v>
      </c>
      <c r="J264" t="str">
        <f t="shared" si="14"/>
        <v>Post Covid</v>
      </c>
      <c r="K264">
        <f t="shared" si="16"/>
        <v>147.4</v>
      </c>
      <c r="L264" t="e">
        <f t="shared" si="15"/>
        <v>#N/A</v>
      </c>
    </row>
    <row r="265" spans="1:12" x14ac:dyDescent="0.3">
      <c r="A265">
        <v>2020</v>
      </c>
      <c r="B265" t="s">
        <v>37</v>
      </c>
      <c r="C265">
        <v>1922.35</v>
      </c>
      <c r="D265">
        <f t="shared" si="17"/>
        <v>151.5</v>
      </c>
      <c r="E265">
        <v>302.625</v>
      </c>
      <c r="F265">
        <v>314.5</v>
      </c>
      <c r="G265">
        <v>1007.575</v>
      </c>
      <c r="H265">
        <f>MATCH(B265,{"January","February","March","April","May","June","July","August","September","October","November","December"},0)</f>
        <v>5</v>
      </c>
      <c r="I265" s="9">
        <f t="shared" si="13"/>
        <v>43952</v>
      </c>
      <c r="J265" t="str">
        <f t="shared" si="14"/>
        <v>Post Covid</v>
      </c>
      <c r="K265">
        <f t="shared" si="16"/>
        <v>148.72499999999999</v>
      </c>
      <c r="L265" t="e">
        <f t="shared" si="15"/>
        <v>#N/A</v>
      </c>
    </row>
    <row r="266" spans="1:12" x14ac:dyDescent="0.3">
      <c r="A266">
        <v>2020</v>
      </c>
      <c r="B266" t="s">
        <v>38</v>
      </c>
      <c r="C266">
        <v>1951</v>
      </c>
      <c r="D266">
        <v>158.19999999999999</v>
      </c>
      <c r="E266">
        <v>461.40000000000003</v>
      </c>
      <c r="F266">
        <v>335.6</v>
      </c>
      <c r="G266">
        <v>1054.8</v>
      </c>
      <c r="H266">
        <f>MATCH(B266,{"January","February","March","April","May","June","July","August","September","October","November","December"},0)</f>
        <v>6</v>
      </c>
      <c r="I266" s="9">
        <f t="shared" si="13"/>
        <v>43983</v>
      </c>
      <c r="J266" t="str">
        <f t="shared" si="14"/>
        <v>Post Covid</v>
      </c>
      <c r="K266">
        <v>152.69999999999999</v>
      </c>
      <c r="L266" t="e">
        <f t="shared" si="15"/>
        <v>#N/A</v>
      </c>
    </row>
    <row r="267" spans="1:12" x14ac:dyDescent="0.3">
      <c r="A267">
        <v>2020</v>
      </c>
      <c r="B267" t="s">
        <v>38</v>
      </c>
      <c r="C267">
        <v>1994.9999999999998</v>
      </c>
      <c r="D267">
        <v>148.1</v>
      </c>
      <c r="E267">
        <v>444.29999999999995</v>
      </c>
      <c r="F267">
        <v>331.2</v>
      </c>
      <c r="G267">
        <v>996.8</v>
      </c>
      <c r="H267">
        <f>MATCH(B267,{"January","February","March","April","May","June","July","August","September","October","November","December"},0)</f>
        <v>6</v>
      </c>
      <c r="I267" s="9">
        <f t="shared" si="13"/>
        <v>43983</v>
      </c>
      <c r="J267" t="str">
        <f t="shared" si="14"/>
        <v>Post Covid</v>
      </c>
      <c r="K267">
        <v>150.80000000000001</v>
      </c>
      <c r="L267" t="e">
        <f t="shared" si="15"/>
        <v>#N/A</v>
      </c>
    </row>
    <row r="268" spans="1:12" x14ac:dyDescent="0.3">
      <c r="A268">
        <v>2020</v>
      </c>
      <c r="B268" t="s">
        <v>38</v>
      </c>
      <c r="C268">
        <v>1966.8000000000002</v>
      </c>
      <c r="D268">
        <v>154.4</v>
      </c>
      <c r="E268">
        <v>453</v>
      </c>
      <c r="F268">
        <v>331.8</v>
      </c>
      <c r="G268">
        <v>1028.3</v>
      </c>
      <c r="H268">
        <f>MATCH(B268,{"January","February","March","April","May","June","July","August","September","October","November","December"},0)</f>
        <v>6</v>
      </c>
      <c r="I268" s="9">
        <f t="shared" si="13"/>
        <v>43983</v>
      </c>
      <c r="J268" t="str">
        <f t="shared" si="14"/>
        <v>Post Covid</v>
      </c>
      <c r="K268">
        <v>151.80000000000001</v>
      </c>
      <c r="L268" t="e">
        <f t="shared" si="15"/>
        <v>#N/A</v>
      </c>
    </row>
    <row r="269" spans="1:12" x14ac:dyDescent="0.3">
      <c r="A269">
        <v>2020</v>
      </c>
      <c r="B269" t="s">
        <v>39</v>
      </c>
      <c r="C269">
        <v>1951</v>
      </c>
      <c r="D269">
        <v>158.19999999999999</v>
      </c>
      <c r="E269">
        <v>461.40000000000003</v>
      </c>
      <c r="F269">
        <v>335.6</v>
      </c>
      <c r="G269">
        <v>1054.8</v>
      </c>
      <c r="H269">
        <f>MATCH(B269,{"January","February","March","April","May","June","July","August","September","October","November","December"},0)</f>
        <v>7</v>
      </c>
      <c r="I269" s="9">
        <f t="shared" si="13"/>
        <v>44013</v>
      </c>
      <c r="J269" t="str">
        <f t="shared" si="14"/>
        <v>Post Covid</v>
      </c>
      <c r="K269">
        <v>152.69999999999999</v>
      </c>
      <c r="L269" t="e">
        <f t="shared" si="15"/>
        <v>#N/A</v>
      </c>
    </row>
    <row r="270" spans="1:12" x14ac:dyDescent="0.3">
      <c r="A270">
        <v>2020</v>
      </c>
      <c r="B270" t="s">
        <v>39</v>
      </c>
      <c r="C270">
        <v>1994.9999999999998</v>
      </c>
      <c r="D270">
        <v>148.1</v>
      </c>
      <c r="E270">
        <v>444.29999999999995</v>
      </c>
      <c r="F270">
        <v>331.2</v>
      </c>
      <c r="G270">
        <v>996.8</v>
      </c>
      <c r="H270">
        <f>MATCH(B270,{"January","February","March","April","May","June","July","August","September","October","November","December"},0)</f>
        <v>7</v>
      </c>
      <c r="I270" s="9">
        <f t="shared" si="13"/>
        <v>44013</v>
      </c>
      <c r="J270" t="str">
        <f t="shared" si="14"/>
        <v>Post Covid</v>
      </c>
      <c r="K270">
        <v>150.80000000000001</v>
      </c>
      <c r="L270" t="e">
        <f t="shared" si="15"/>
        <v>#N/A</v>
      </c>
    </row>
    <row r="271" spans="1:12" x14ac:dyDescent="0.3">
      <c r="A271">
        <v>2020</v>
      </c>
      <c r="B271" t="s">
        <v>39</v>
      </c>
      <c r="C271">
        <v>1966.8000000000002</v>
      </c>
      <c r="D271">
        <v>154.4</v>
      </c>
      <c r="E271">
        <v>453</v>
      </c>
      <c r="F271">
        <v>331.8</v>
      </c>
      <c r="G271">
        <v>1028.3</v>
      </c>
      <c r="H271">
        <f>MATCH(B271,{"January","February","March","April","May","June","July","August","September","October","November","December"},0)</f>
        <v>7</v>
      </c>
      <c r="I271" s="9">
        <f t="shared" si="13"/>
        <v>44013</v>
      </c>
      <c r="J271" t="str">
        <f t="shared" si="14"/>
        <v>Post Covid</v>
      </c>
      <c r="K271">
        <v>151.80000000000001</v>
      </c>
      <c r="L271" t="e">
        <f t="shared" si="15"/>
        <v>#N/A</v>
      </c>
    </row>
    <row r="272" spans="1:12" x14ac:dyDescent="0.3">
      <c r="A272">
        <v>2020</v>
      </c>
      <c r="B272" t="s">
        <v>40</v>
      </c>
      <c r="C272">
        <v>1978.6</v>
      </c>
      <c r="D272">
        <v>158.80000000000001</v>
      </c>
      <c r="E272">
        <v>464</v>
      </c>
      <c r="F272">
        <v>333.1</v>
      </c>
      <c r="G272">
        <v>1060.8000000000002</v>
      </c>
      <c r="H272">
        <f>MATCH(B272,{"January","February","March","April","May","June","July","August","September","October","November","December"},0)</f>
        <v>8</v>
      </c>
      <c r="I272" s="9">
        <f t="shared" si="13"/>
        <v>44044</v>
      </c>
      <c r="J272" t="str">
        <f t="shared" si="14"/>
        <v>Post Covid</v>
      </c>
      <c r="K272">
        <v>154.69999999999999</v>
      </c>
      <c r="L272" t="e">
        <f t="shared" si="15"/>
        <v>#N/A</v>
      </c>
    </row>
    <row r="273" spans="1:12" x14ac:dyDescent="0.3">
      <c r="A273">
        <v>2020</v>
      </c>
      <c r="B273" t="s">
        <v>40</v>
      </c>
      <c r="C273">
        <v>2024.8999999999999</v>
      </c>
      <c r="D273">
        <v>148.69999999999999</v>
      </c>
      <c r="E273">
        <v>449.3</v>
      </c>
      <c r="F273">
        <v>328.4</v>
      </c>
      <c r="G273">
        <v>1011.3999999999999</v>
      </c>
      <c r="H273">
        <f>MATCH(B273,{"January","February","March","April","May","June","July","August","September","October","November","December"},0)</f>
        <v>8</v>
      </c>
      <c r="I273" s="9">
        <f t="shared" si="13"/>
        <v>44044</v>
      </c>
      <c r="J273" t="str">
        <f t="shared" si="14"/>
        <v>Post Covid</v>
      </c>
      <c r="K273">
        <v>152.9</v>
      </c>
      <c r="L273" t="e">
        <f t="shared" si="15"/>
        <v>#N/A</v>
      </c>
    </row>
    <row r="274" spans="1:12" x14ac:dyDescent="0.3">
      <c r="A274">
        <v>2020</v>
      </c>
      <c r="B274" t="s">
        <v>40</v>
      </c>
      <c r="C274">
        <v>1995.1999999999998</v>
      </c>
      <c r="D274">
        <v>155</v>
      </c>
      <c r="E274">
        <v>457</v>
      </c>
      <c r="F274">
        <v>328.6</v>
      </c>
      <c r="G274">
        <v>1038.4000000000001</v>
      </c>
      <c r="H274">
        <f>MATCH(B274,{"January","February","March","April","May","June","July","August","September","October","November","December"},0)</f>
        <v>8</v>
      </c>
      <c r="I274" s="9">
        <f t="shared" si="13"/>
        <v>44044</v>
      </c>
      <c r="J274" t="str">
        <f t="shared" si="14"/>
        <v>Post Covid</v>
      </c>
      <c r="K274">
        <v>153.9</v>
      </c>
      <c r="L274" t="e">
        <f t="shared" si="15"/>
        <v>#N/A</v>
      </c>
    </row>
    <row r="275" spans="1:12" x14ac:dyDescent="0.3">
      <c r="A275">
        <v>2020</v>
      </c>
      <c r="B275" t="s">
        <v>41</v>
      </c>
      <c r="C275">
        <v>1987.3999999999999</v>
      </c>
      <c r="D275">
        <v>159.1</v>
      </c>
      <c r="E275">
        <v>463.80000000000007</v>
      </c>
      <c r="F275">
        <v>335.70000000000005</v>
      </c>
      <c r="G275">
        <v>1067.2</v>
      </c>
      <c r="H275">
        <f>MATCH(B275,{"January","February","March","April","May","June","July","August","September","October","November","December"},0)</f>
        <v>9</v>
      </c>
      <c r="I275" s="9">
        <f t="shared" si="13"/>
        <v>44075</v>
      </c>
      <c r="J275" t="str">
        <f t="shared" si="14"/>
        <v>Post Covid</v>
      </c>
      <c r="K275">
        <v>155.4</v>
      </c>
      <c r="L275" t="e">
        <f t="shared" si="15"/>
        <v>#N/A</v>
      </c>
    </row>
    <row r="276" spans="1:12" x14ac:dyDescent="0.3">
      <c r="A276">
        <v>2020</v>
      </c>
      <c r="B276" t="s">
        <v>41</v>
      </c>
      <c r="C276">
        <v>2041.6000000000001</v>
      </c>
      <c r="D276">
        <v>150</v>
      </c>
      <c r="E276">
        <v>448.4</v>
      </c>
      <c r="F276">
        <v>330.5</v>
      </c>
      <c r="G276">
        <v>1020.9000000000001</v>
      </c>
      <c r="H276">
        <f>MATCH(B276,{"January","February","March","April","May","June","July","August","September","October","November","December"},0)</f>
        <v>9</v>
      </c>
      <c r="I276" s="9">
        <f t="shared" si="13"/>
        <v>44075</v>
      </c>
      <c r="J276" t="str">
        <f t="shared" si="14"/>
        <v>Post Covid</v>
      </c>
      <c r="K276">
        <v>154</v>
      </c>
      <c r="L276" t="e">
        <f t="shared" si="15"/>
        <v>#N/A</v>
      </c>
    </row>
    <row r="277" spans="1:12" x14ac:dyDescent="0.3">
      <c r="A277">
        <v>2020</v>
      </c>
      <c r="B277" t="s">
        <v>41</v>
      </c>
      <c r="C277">
        <v>2007</v>
      </c>
      <c r="D277">
        <v>155.6</v>
      </c>
      <c r="E277">
        <v>456.70000000000005</v>
      </c>
      <c r="F277">
        <v>331</v>
      </c>
      <c r="G277">
        <v>1046.4000000000001</v>
      </c>
      <c r="H277">
        <f>MATCH(B277,{"January","February","March","April","May","June","July","August","September","October","November","December"},0)</f>
        <v>9</v>
      </c>
      <c r="I277" s="9">
        <f t="shared" si="13"/>
        <v>44075</v>
      </c>
      <c r="J277" t="str">
        <f t="shared" si="14"/>
        <v>Post Covid</v>
      </c>
      <c r="K277">
        <v>154.69999999999999</v>
      </c>
      <c r="L277" t="e">
        <f t="shared" si="15"/>
        <v>#N/A</v>
      </c>
    </row>
    <row r="278" spans="1:12" x14ac:dyDescent="0.3">
      <c r="A278">
        <v>2020</v>
      </c>
      <c r="B278" t="s">
        <v>42</v>
      </c>
      <c r="C278">
        <v>2030.9</v>
      </c>
      <c r="D278">
        <v>159.5</v>
      </c>
      <c r="E278">
        <v>465.8</v>
      </c>
      <c r="F278">
        <v>335.1</v>
      </c>
      <c r="G278">
        <v>1070.1999999999998</v>
      </c>
      <c r="H278">
        <f>MATCH(B278,{"January","February","March","April","May","June","July","August","September","October","November","December"},0)</f>
        <v>10</v>
      </c>
      <c r="I278" s="9">
        <f t="shared" si="13"/>
        <v>44105</v>
      </c>
      <c r="J278" t="str">
        <f t="shared" si="14"/>
        <v>Post Covid</v>
      </c>
      <c r="K278">
        <v>157.5</v>
      </c>
      <c r="L278" t="e">
        <f t="shared" si="15"/>
        <v>#N/A</v>
      </c>
    </row>
    <row r="279" spans="1:12" x14ac:dyDescent="0.3">
      <c r="A279">
        <v>2020</v>
      </c>
      <c r="B279" t="s">
        <v>42</v>
      </c>
      <c r="C279">
        <v>2080.1999999999998</v>
      </c>
      <c r="D279">
        <v>151</v>
      </c>
      <c r="E279">
        <v>449.3</v>
      </c>
      <c r="F279">
        <v>330.7</v>
      </c>
      <c r="G279">
        <v>1019.7</v>
      </c>
      <c r="H279">
        <f>MATCH(B279,{"January","February","March","April","May","June","July","August","September","October","November","December"},0)</f>
        <v>10</v>
      </c>
      <c r="I279" s="9">
        <f t="shared" si="13"/>
        <v>44105</v>
      </c>
      <c r="J279" t="str">
        <f t="shared" si="14"/>
        <v>Post Covid</v>
      </c>
      <c r="K279">
        <v>155.19999999999999</v>
      </c>
      <c r="L279" t="e">
        <f t="shared" si="15"/>
        <v>#N/A</v>
      </c>
    </row>
    <row r="280" spans="1:12" x14ac:dyDescent="0.3">
      <c r="A280">
        <v>2020</v>
      </c>
      <c r="B280" t="s">
        <v>42</v>
      </c>
      <c r="C280">
        <v>2048.6000000000004</v>
      </c>
      <c r="D280">
        <v>156.30000000000001</v>
      </c>
      <c r="E280">
        <v>458.1</v>
      </c>
      <c r="F280">
        <v>330.8</v>
      </c>
      <c r="G280">
        <v>1047.3</v>
      </c>
      <c r="H280">
        <f>MATCH(B280,{"January","February","March","April","May","June","July","August","September","October","November","December"},0)</f>
        <v>10</v>
      </c>
      <c r="I280" s="9">
        <f t="shared" si="13"/>
        <v>44105</v>
      </c>
      <c r="J280" t="str">
        <f t="shared" si="14"/>
        <v>Post Covid</v>
      </c>
      <c r="K280">
        <v>156.4</v>
      </c>
      <c r="L280" t="e">
        <f t="shared" si="15"/>
        <v>#N/A</v>
      </c>
    </row>
    <row r="281" spans="1:12" x14ac:dyDescent="0.3">
      <c r="A281">
        <v>2020</v>
      </c>
      <c r="B281" t="s">
        <v>44</v>
      </c>
      <c r="C281">
        <v>2082.4</v>
      </c>
      <c r="D281">
        <v>160.4</v>
      </c>
      <c r="E281">
        <v>467.1</v>
      </c>
      <c r="F281">
        <v>337</v>
      </c>
      <c r="G281">
        <v>1072.4000000000001</v>
      </c>
      <c r="H281">
        <f>MATCH(B281,{"January","February","March","April","May","June","July","August","September","October","November","December"},0)</f>
        <v>11</v>
      </c>
      <c r="I281" s="9">
        <f t="shared" si="13"/>
        <v>44136</v>
      </c>
      <c r="J281" t="str">
        <f t="shared" si="14"/>
        <v>Post Covid</v>
      </c>
      <c r="K281">
        <v>159.80000000000001</v>
      </c>
      <c r="L281" t="e">
        <f t="shared" si="15"/>
        <v>#N/A</v>
      </c>
    </row>
    <row r="282" spans="1:12" x14ac:dyDescent="0.3">
      <c r="A282">
        <v>2020</v>
      </c>
      <c r="B282" t="s">
        <v>44</v>
      </c>
      <c r="C282">
        <v>2120.6999999999998</v>
      </c>
      <c r="D282">
        <v>152</v>
      </c>
      <c r="E282">
        <v>451.70000000000005</v>
      </c>
      <c r="F282">
        <v>333.20000000000005</v>
      </c>
      <c r="G282">
        <v>1021.0999999999999</v>
      </c>
      <c r="H282">
        <f>MATCH(B282,{"January","February","March","April","May","June","July","August","September","October","November","December"},0)</f>
        <v>11</v>
      </c>
      <c r="I282" s="9">
        <f t="shared" si="13"/>
        <v>44136</v>
      </c>
      <c r="J282" t="str">
        <f t="shared" si="14"/>
        <v>Post Covid</v>
      </c>
      <c r="K282">
        <v>156.69999999999999</v>
      </c>
      <c r="L282" t="e">
        <f t="shared" si="15"/>
        <v>#N/A</v>
      </c>
    </row>
    <row r="283" spans="1:12" x14ac:dyDescent="0.3">
      <c r="A283">
        <v>2020</v>
      </c>
      <c r="B283" t="s">
        <v>44</v>
      </c>
      <c r="C283">
        <v>2095.6</v>
      </c>
      <c r="D283">
        <v>157.19999999999999</v>
      </c>
      <c r="E283">
        <v>460.20000000000005</v>
      </c>
      <c r="F283">
        <v>333.20000000000005</v>
      </c>
      <c r="G283">
        <v>1049.2</v>
      </c>
      <c r="H283">
        <f>MATCH(B283,{"January","February","March","April","May","June","July","August","September","October","November","December"},0)</f>
        <v>11</v>
      </c>
      <c r="I283" s="9">
        <f t="shared" si="13"/>
        <v>44136</v>
      </c>
      <c r="J283" t="str">
        <f t="shared" si="14"/>
        <v>Post Covid</v>
      </c>
      <c r="K283">
        <v>158.4</v>
      </c>
      <c r="L283" t="e">
        <f t="shared" si="15"/>
        <v>#N/A</v>
      </c>
    </row>
    <row r="284" spans="1:12" x14ac:dyDescent="0.3">
      <c r="A284">
        <v>2020</v>
      </c>
      <c r="B284" t="s">
        <v>45</v>
      </c>
      <c r="C284">
        <v>2100.5</v>
      </c>
      <c r="D284">
        <v>161.6</v>
      </c>
      <c r="E284">
        <v>470</v>
      </c>
      <c r="F284">
        <v>337.5</v>
      </c>
      <c r="G284">
        <v>1076.5</v>
      </c>
      <c r="H284">
        <f>MATCH(B284,{"January","February","March","April","May","June","July","August","September","October","November","December"},0)</f>
        <v>12</v>
      </c>
      <c r="I284" s="9">
        <f t="shared" si="13"/>
        <v>44166</v>
      </c>
      <c r="J284" t="str">
        <f t="shared" si="14"/>
        <v>Post Covid</v>
      </c>
      <c r="K284">
        <v>160.69999999999999</v>
      </c>
      <c r="L284" t="e">
        <f t="shared" si="15"/>
        <v>#N/A</v>
      </c>
    </row>
    <row r="285" spans="1:12" x14ac:dyDescent="0.3">
      <c r="A285">
        <v>2020</v>
      </c>
      <c r="B285" t="s">
        <v>45</v>
      </c>
      <c r="C285">
        <v>2125.4</v>
      </c>
      <c r="D285">
        <v>152.9</v>
      </c>
      <c r="E285">
        <v>453.20000000000005</v>
      </c>
      <c r="F285">
        <v>334.5</v>
      </c>
      <c r="G285">
        <v>1024</v>
      </c>
      <c r="H285">
        <f>MATCH(B285,{"January","February","March","April","May","June","July","August","September","October","November","December"},0)</f>
        <v>12</v>
      </c>
      <c r="I285" s="9">
        <f t="shared" si="13"/>
        <v>44166</v>
      </c>
      <c r="J285" t="str">
        <f t="shared" si="14"/>
        <v>Post Covid</v>
      </c>
      <c r="K285">
        <v>156.9</v>
      </c>
      <c r="L285" t="e">
        <f t="shared" si="15"/>
        <v>#N/A</v>
      </c>
    </row>
    <row r="286" spans="1:12" x14ac:dyDescent="0.3">
      <c r="A286">
        <v>2020</v>
      </c>
      <c r="B286" t="s">
        <v>45</v>
      </c>
      <c r="C286">
        <v>2109.1</v>
      </c>
      <c r="D286">
        <v>158.30000000000001</v>
      </c>
      <c r="E286">
        <v>462.4</v>
      </c>
      <c r="F286">
        <v>333.9</v>
      </c>
      <c r="G286">
        <v>1052.7</v>
      </c>
      <c r="H286">
        <f>MATCH(B286,{"January","February","March","April","May","June","July","August","September","October","November","December"},0)</f>
        <v>12</v>
      </c>
      <c r="I286" s="9">
        <f t="shared" si="13"/>
        <v>44166</v>
      </c>
      <c r="J286" t="str">
        <f t="shared" si="14"/>
        <v>Post Covid</v>
      </c>
      <c r="K286">
        <v>158.9</v>
      </c>
      <c r="L286" t="e">
        <f t="shared" si="15"/>
        <v>#N/A</v>
      </c>
    </row>
    <row r="287" spans="1:12" x14ac:dyDescent="0.3">
      <c r="A287">
        <v>2021</v>
      </c>
      <c r="B287" t="s">
        <v>31</v>
      </c>
      <c r="C287">
        <v>2065.6999999999998</v>
      </c>
      <c r="D287">
        <v>162.5</v>
      </c>
      <c r="E287">
        <v>472.1</v>
      </c>
      <c r="F287">
        <v>339.7</v>
      </c>
      <c r="G287">
        <v>1080.2</v>
      </c>
      <c r="H287">
        <f>MATCH(B287,{"January","February","March","April","May","June","July","August","September","October","November","December"},0)</f>
        <v>1</v>
      </c>
      <c r="I287" s="9">
        <f t="shared" si="13"/>
        <v>44197</v>
      </c>
      <c r="J287" t="str">
        <f t="shared" si="14"/>
        <v>Post Covid</v>
      </c>
      <c r="K287">
        <v>158.5</v>
      </c>
      <c r="L287" t="e">
        <f t="shared" si="15"/>
        <v>#N/A</v>
      </c>
    </row>
    <row r="288" spans="1:12" x14ac:dyDescent="0.3">
      <c r="A288">
        <v>2021</v>
      </c>
      <c r="B288" t="s">
        <v>31</v>
      </c>
      <c r="C288">
        <v>2097</v>
      </c>
      <c r="D288">
        <v>154.1</v>
      </c>
      <c r="E288">
        <v>456.70000000000005</v>
      </c>
      <c r="F288">
        <v>337.20000000000005</v>
      </c>
      <c r="G288">
        <v>1027.8999999999999</v>
      </c>
      <c r="H288">
        <f>MATCH(B288,{"January","February","March","April","May","June","July","August","September","October","November","December"},0)</f>
        <v>1</v>
      </c>
      <c r="I288" s="9">
        <f t="shared" si="13"/>
        <v>44197</v>
      </c>
      <c r="J288" t="str">
        <f t="shared" si="14"/>
        <v>Post Covid</v>
      </c>
      <c r="K288">
        <v>156</v>
      </c>
      <c r="L288" t="e">
        <f t="shared" si="15"/>
        <v>#N/A</v>
      </c>
    </row>
    <row r="289" spans="1:12" x14ac:dyDescent="0.3">
      <c r="A289">
        <v>2021</v>
      </c>
      <c r="B289" t="s">
        <v>31</v>
      </c>
      <c r="C289">
        <v>2076.5</v>
      </c>
      <c r="D289">
        <v>159.30000000000001</v>
      </c>
      <c r="E289">
        <v>464.8</v>
      </c>
      <c r="F289">
        <v>336.1</v>
      </c>
      <c r="G289">
        <v>1056.4000000000001</v>
      </c>
      <c r="H289">
        <f>MATCH(B289,{"January","February","March","April","May","June","July","August","September","October","November","December"},0)</f>
        <v>1</v>
      </c>
      <c r="I289" s="9">
        <f t="shared" si="13"/>
        <v>44197</v>
      </c>
      <c r="J289" t="str">
        <f t="shared" si="14"/>
        <v>Post Covid</v>
      </c>
      <c r="K289">
        <v>157.30000000000001</v>
      </c>
      <c r="L289" t="e">
        <f t="shared" si="15"/>
        <v>#N/A</v>
      </c>
    </row>
    <row r="290" spans="1:12" x14ac:dyDescent="0.3">
      <c r="A290">
        <v>2021</v>
      </c>
      <c r="B290" t="s">
        <v>34</v>
      </c>
      <c r="C290">
        <v>2025.3</v>
      </c>
      <c r="D290">
        <v>164.3</v>
      </c>
      <c r="E290">
        <v>477.80000000000007</v>
      </c>
      <c r="F290">
        <v>343.5</v>
      </c>
      <c r="G290">
        <v>1088.8000000000002</v>
      </c>
      <c r="H290">
        <f>MATCH(B290,{"January","February","March","April","May","June","July","August","September","October","November","December"},0)</f>
        <v>2</v>
      </c>
      <c r="I290" s="9">
        <f t="shared" si="13"/>
        <v>44228</v>
      </c>
      <c r="J290" t="str">
        <f t="shared" si="14"/>
        <v>Post Covid</v>
      </c>
      <c r="K290">
        <v>156.69999999999999</v>
      </c>
      <c r="L290" t="e">
        <f t="shared" si="15"/>
        <v>#N/A</v>
      </c>
    </row>
    <row r="291" spans="1:12" x14ac:dyDescent="0.3">
      <c r="A291">
        <v>2021</v>
      </c>
      <c r="B291" t="s">
        <v>34</v>
      </c>
      <c r="C291">
        <v>2066</v>
      </c>
      <c r="D291">
        <v>156.30000000000001</v>
      </c>
      <c r="E291">
        <v>465.5</v>
      </c>
      <c r="F291">
        <v>340.6</v>
      </c>
      <c r="G291">
        <v>1037.2</v>
      </c>
      <c r="H291">
        <f>MATCH(B291,{"January","February","March","April","May","June","July","August","September","October","November","December"},0)</f>
        <v>2</v>
      </c>
      <c r="I291" s="9">
        <f t="shared" si="13"/>
        <v>44228</v>
      </c>
      <c r="J291" t="str">
        <f t="shared" si="14"/>
        <v>Post Covid</v>
      </c>
      <c r="K291">
        <v>156.5</v>
      </c>
      <c r="L291" t="e">
        <f t="shared" si="15"/>
        <v>#N/A</v>
      </c>
    </row>
    <row r="292" spans="1:12" x14ac:dyDescent="0.3">
      <c r="A292">
        <v>2021</v>
      </c>
      <c r="B292" t="s">
        <v>34</v>
      </c>
      <c r="C292">
        <v>2039.3000000000002</v>
      </c>
      <c r="D292">
        <v>161.30000000000001</v>
      </c>
      <c r="E292">
        <v>471.70000000000005</v>
      </c>
      <c r="F292">
        <v>339.8</v>
      </c>
      <c r="G292">
        <v>1065.6000000000001</v>
      </c>
      <c r="H292">
        <f>MATCH(B292,{"January","February","March","April","May","June","July","August","September","October","November","December"},0)</f>
        <v>2</v>
      </c>
      <c r="I292" s="9">
        <f t="shared" si="13"/>
        <v>44228</v>
      </c>
      <c r="J292" t="str">
        <f t="shared" si="14"/>
        <v>Post Covid</v>
      </c>
      <c r="K292">
        <v>156.6</v>
      </c>
      <c r="L292" t="e">
        <f t="shared" si="15"/>
        <v>#N/A</v>
      </c>
    </row>
    <row r="293" spans="1:12" x14ac:dyDescent="0.3">
      <c r="A293">
        <v>2021</v>
      </c>
      <c r="B293" t="s">
        <v>35</v>
      </c>
      <c r="C293">
        <v>2025.7</v>
      </c>
      <c r="D293">
        <v>164.6</v>
      </c>
      <c r="E293">
        <v>479.7</v>
      </c>
      <c r="F293">
        <v>343.9</v>
      </c>
      <c r="G293">
        <v>1089.4000000000001</v>
      </c>
      <c r="H293">
        <f>MATCH(B293,{"January","February","March","April","May","June","July","August","September","October","November","December"},0)</f>
        <v>3</v>
      </c>
      <c r="I293" s="9">
        <f t="shared" si="13"/>
        <v>44256</v>
      </c>
      <c r="J293" t="str">
        <f t="shared" si="14"/>
        <v>Post Covid</v>
      </c>
      <c r="K293">
        <v>156.69999999999999</v>
      </c>
      <c r="L293" t="e">
        <f t="shared" si="15"/>
        <v>#N/A</v>
      </c>
    </row>
    <row r="294" spans="1:12" x14ac:dyDescent="0.3">
      <c r="A294">
        <v>2021</v>
      </c>
      <c r="B294" t="s">
        <v>35</v>
      </c>
      <c r="C294">
        <v>2064.4999999999995</v>
      </c>
      <c r="D294">
        <v>156.9</v>
      </c>
      <c r="E294">
        <v>472.30000000000007</v>
      </c>
      <c r="F294">
        <v>342.1</v>
      </c>
      <c r="G294">
        <v>1040.1999999999998</v>
      </c>
      <c r="H294">
        <f>MATCH(B294,{"January","February","March","April","May","June","July","August","September","October","November","December"},0)</f>
        <v>3</v>
      </c>
      <c r="I294" s="9">
        <f t="shared" si="13"/>
        <v>44256</v>
      </c>
      <c r="J294" t="str">
        <f t="shared" si="14"/>
        <v>Post Covid</v>
      </c>
      <c r="K294">
        <v>156.9</v>
      </c>
      <c r="L294" t="e">
        <f t="shared" si="15"/>
        <v>#N/A</v>
      </c>
    </row>
    <row r="295" spans="1:12" x14ac:dyDescent="0.3">
      <c r="A295">
        <v>2021</v>
      </c>
      <c r="B295" t="s">
        <v>35</v>
      </c>
      <c r="C295">
        <v>2039.3999999999999</v>
      </c>
      <c r="D295">
        <v>161.69999999999999</v>
      </c>
      <c r="E295">
        <v>475.59999999999997</v>
      </c>
      <c r="F295">
        <v>340.7</v>
      </c>
      <c r="G295">
        <v>1067.0999999999999</v>
      </c>
      <c r="H295">
        <f>MATCH(B295,{"January","February","March","April","May","June","July","August","September","October","November","December"},0)</f>
        <v>3</v>
      </c>
      <c r="I295" s="9">
        <f t="shared" si="13"/>
        <v>44256</v>
      </c>
      <c r="J295" t="str">
        <f t="shared" si="14"/>
        <v>Post Covid</v>
      </c>
      <c r="K295">
        <v>156.80000000000001</v>
      </c>
      <c r="L295" t="e">
        <f t="shared" si="15"/>
        <v>#N/A</v>
      </c>
    </row>
    <row r="296" spans="1:12" x14ac:dyDescent="0.3">
      <c r="A296">
        <v>2021</v>
      </c>
      <c r="B296" t="s">
        <v>36</v>
      </c>
      <c r="C296">
        <v>2049.5</v>
      </c>
      <c r="D296">
        <v>165.3</v>
      </c>
      <c r="E296">
        <v>481.5</v>
      </c>
      <c r="F296">
        <v>345.4</v>
      </c>
      <c r="G296">
        <v>1095.5</v>
      </c>
      <c r="H296">
        <f>MATCH(B296,{"January","February","March","April","May","June","July","August","September","October","November","December"},0)</f>
        <v>4</v>
      </c>
      <c r="I296" s="9">
        <f t="shared" si="13"/>
        <v>44287</v>
      </c>
      <c r="J296" t="str">
        <f t="shared" si="14"/>
        <v>Post Covid</v>
      </c>
      <c r="K296">
        <v>157.6</v>
      </c>
      <c r="L296" t="e">
        <f t="shared" si="15"/>
        <v>#N/A</v>
      </c>
    </row>
    <row r="297" spans="1:12" x14ac:dyDescent="0.3">
      <c r="A297">
        <v>2021</v>
      </c>
      <c r="B297" t="s">
        <v>36</v>
      </c>
      <c r="C297">
        <v>2089.6</v>
      </c>
      <c r="D297">
        <v>157.5</v>
      </c>
      <c r="E297">
        <v>473.9</v>
      </c>
      <c r="F297">
        <v>343.5</v>
      </c>
      <c r="G297">
        <v>1045.4000000000001</v>
      </c>
      <c r="H297">
        <f>MATCH(B297,{"January","February","March","April","May","June","July","August","September","October","November","December"},0)</f>
        <v>4</v>
      </c>
      <c r="I297" s="9">
        <f t="shared" si="13"/>
        <v>44287</v>
      </c>
      <c r="J297" t="str">
        <f t="shared" si="14"/>
        <v>Post Covid</v>
      </c>
      <c r="K297">
        <v>158</v>
      </c>
      <c r="L297" t="e">
        <f t="shared" si="15"/>
        <v>#N/A</v>
      </c>
    </row>
    <row r="298" spans="1:12" x14ac:dyDescent="0.3">
      <c r="A298">
        <v>2021</v>
      </c>
      <c r="B298" t="s">
        <v>36</v>
      </c>
      <c r="C298">
        <v>2064.1</v>
      </c>
      <c r="D298">
        <v>162.30000000000001</v>
      </c>
      <c r="E298">
        <v>477.3</v>
      </c>
      <c r="F298">
        <v>342</v>
      </c>
      <c r="G298">
        <v>1072.8000000000002</v>
      </c>
      <c r="H298">
        <f>MATCH(B298,{"January","February","March","April","May","June","July","August","September","October","November","December"},0)</f>
        <v>4</v>
      </c>
      <c r="I298" s="9">
        <f t="shared" si="13"/>
        <v>44287</v>
      </c>
      <c r="J298" t="str">
        <f t="shared" si="14"/>
        <v>Post Covid</v>
      </c>
      <c r="K298">
        <v>157.80000000000001</v>
      </c>
      <c r="L298" t="e">
        <f t="shared" si="15"/>
        <v>#N/A</v>
      </c>
    </row>
    <row r="299" spans="1:12" x14ac:dyDescent="0.3">
      <c r="A299">
        <v>2021</v>
      </c>
      <c r="B299" t="s">
        <v>37</v>
      </c>
      <c r="C299">
        <v>2095.2999999999997</v>
      </c>
      <c r="D299">
        <v>169.1</v>
      </c>
      <c r="E299">
        <v>490.9</v>
      </c>
      <c r="F299">
        <v>349.6</v>
      </c>
      <c r="G299">
        <v>1122.8</v>
      </c>
      <c r="H299">
        <f>MATCH(B299,{"January","February","March","April","May","June","July","August","September","October","November","December"},0)</f>
        <v>5</v>
      </c>
      <c r="I299" s="9">
        <f t="shared" si="13"/>
        <v>44317</v>
      </c>
      <c r="J299" t="str">
        <f t="shared" si="14"/>
        <v>Post Covid</v>
      </c>
      <c r="K299">
        <v>161.1</v>
      </c>
      <c r="L299" t="e">
        <f t="shared" si="15"/>
        <v>#N/A</v>
      </c>
    </row>
    <row r="300" spans="1:12" x14ac:dyDescent="0.3">
      <c r="A300">
        <v>2021</v>
      </c>
      <c r="B300" t="s">
        <v>37</v>
      </c>
      <c r="C300">
        <v>2124.7000000000003</v>
      </c>
      <c r="D300">
        <v>160.4</v>
      </c>
      <c r="E300">
        <v>473.70000000000005</v>
      </c>
      <c r="F300">
        <v>350.79999999999995</v>
      </c>
      <c r="G300">
        <v>1055.7</v>
      </c>
      <c r="H300">
        <f>MATCH(B300,{"January","February","March","April","May","June","July","August","September","October","November","December"},0)</f>
        <v>5</v>
      </c>
      <c r="I300" s="9">
        <f t="shared" si="13"/>
        <v>44317</v>
      </c>
      <c r="J300" t="str">
        <f t="shared" si="14"/>
        <v>Post Covid</v>
      </c>
      <c r="K300">
        <v>159.5</v>
      </c>
      <c r="L300" t="e">
        <f t="shared" si="15"/>
        <v>#N/A</v>
      </c>
    </row>
    <row r="301" spans="1:12" x14ac:dyDescent="0.3">
      <c r="A301">
        <v>2021</v>
      </c>
      <c r="B301" t="s">
        <v>37</v>
      </c>
      <c r="C301">
        <v>2105.7000000000003</v>
      </c>
      <c r="D301">
        <v>165.8</v>
      </c>
      <c r="E301">
        <v>482.2</v>
      </c>
      <c r="F301">
        <v>347.70000000000005</v>
      </c>
      <c r="G301">
        <v>1093.3</v>
      </c>
      <c r="H301">
        <f>MATCH(B301,{"January","February","March","April","May","June","July","August","September","October","November","December"},0)</f>
        <v>5</v>
      </c>
      <c r="I301" s="9">
        <f t="shared" si="13"/>
        <v>44317</v>
      </c>
      <c r="J301" t="str">
        <f t="shared" si="14"/>
        <v>Post Covid</v>
      </c>
      <c r="K301">
        <v>160.4</v>
      </c>
      <c r="L301" t="e">
        <f t="shared" si="15"/>
        <v>#N/A</v>
      </c>
    </row>
    <row r="302" spans="1:12" x14ac:dyDescent="0.3">
      <c r="A302">
        <v>2021</v>
      </c>
      <c r="B302" t="s">
        <v>38</v>
      </c>
      <c r="C302">
        <v>2122.6</v>
      </c>
      <c r="D302">
        <v>169.7</v>
      </c>
      <c r="E302">
        <v>489.40000000000003</v>
      </c>
      <c r="F302">
        <v>349.5</v>
      </c>
      <c r="G302">
        <v>1124.0999999999999</v>
      </c>
      <c r="H302">
        <f>MATCH(B302,{"January","February","March","April","May","June","July","August","September","October","November","December"},0)</f>
        <v>6</v>
      </c>
      <c r="I302" s="9">
        <f t="shared" si="13"/>
        <v>44348</v>
      </c>
      <c r="J302" t="str">
        <f t="shared" si="14"/>
        <v>Post Covid</v>
      </c>
      <c r="K302">
        <v>162.1</v>
      </c>
      <c r="L302" t="e">
        <f t="shared" si="15"/>
        <v>#N/A</v>
      </c>
    </row>
    <row r="303" spans="1:12" x14ac:dyDescent="0.3">
      <c r="A303">
        <v>2021</v>
      </c>
      <c r="B303" t="s">
        <v>38</v>
      </c>
      <c r="C303">
        <v>2154.1999999999998</v>
      </c>
      <c r="D303">
        <v>160.80000000000001</v>
      </c>
      <c r="E303">
        <v>474.70000000000005</v>
      </c>
      <c r="F303">
        <v>346.29999999999995</v>
      </c>
      <c r="G303">
        <v>1061.3000000000002</v>
      </c>
      <c r="H303">
        <f>MATCH(B303,{"January","February","March","April","May","June","July","August","September","October","November","December"},0)</f>
        <v>6</v>
      </c>
      <c r="I303" s="9">
        <f t="shared" si="13"/>
        <v>44348</v>
      </c>
      <c r="J303" t="str">
        <f t="shared" si="14"/>
        <v>Post Covid</v>
      </c>
      <c r="K303">
        <v>160.4</v>
      </c>
      <c r="L303" t="e">
        <f t="shared" si="15"/>
        <v>#N/A</v>
      </c>
    </row>
    <row r="304" spans="1:12" x14ac:dyDescent="0.3">
      <c r="A304">
        <v>2021</v>
      </c>
      <c r="B304" t="s">
        <v>38</v>
      </c>
      <c r="C304">
        <v>2133.9</v>
      </c>
      <c r="D304">
        <v>166.3</v>
      </c>
      <c r="E304">
        <v>482</v>
      </c>
      <c r="F304">
        <v>345.70000000000005</v>
      </c>
      <c r="G304">
        <v>1096.5999999999999</v>
      </c>
      <c r="H304">
        <f>MATCH(B304,{"January","February","March","April","May","June","July","August","September","October","November","December"},0)</f>
        <v>6</v>
      </c>
      <c r="I304" s="9">
        <f t="shared" si="13"/>
        <v>44348</v>
      </c>
      <c r="J304" t="str">
        <f t="shared" si="14"/>
        <v>Post Covid</v>
      </c>
      <c r="K304">
        <v>161.30000000000001</v>
      </c>
      <c r="L304" t="e">
        <f t="shared" si="15"/>
        <v>#N/A</v>
      </c>
    </row>
    <row r="305" spans="1:12" x14ac:dyDescent="0.3">
      <c r="A305">
        <v>2021</v>
      </c>
      <c r="B305" t="s">
        <v>39</v>
      </c>
      <c r="C305">
        <v>2132.4</v>
      </c>
      <c r="D305">
        <v>170.4</v>
      </c>
      <c r="E305">
        <v>491.2</v>
      </c>
      <c r="F305">
        <v>350.4</v>
      </c>
      <c r="G305">
        <v>1133</v>
      </c>
      <c r="H305">
        <f>MATCH(B305,{"January","February","March","April","May","June","July","August","September","October","November","December"},0)</f>
        <v>7</v>
      </c>
      <c r="I305" s="9">
        <f t="shared" si="13"/>
        <v>44378</v>
      </c>
      <c r="J305" t="str">
        <f t="shared" si="14"/>
        <v>Post Covid</v>
      </c>
      <c r="K305">
        <v>163.19999999999999</v>
      </c>
      <c r="L305" t="e">
        <f t="shared" si="15"/>
        <v>#N/A</v>
      </c>
    </row>
    <row r="306" spans="1:12" x14ac:dyDescent="0.3">
      <c r="A306">
        <v>2021</v>
      </c>
      <c r="B306" t="s">
        <v>39</v>
      </c>
      <c r="C306">
        <v>2171.8000000000002</v>
      </c>
      <c r="D306">
        <v>161.5</v>
      </c>
      <c r="E306">
        <v>479.5</v>
      </c>
      <c r="F306">
        <v>346.7</v>
      </c>
      <c r="G306">
        <v>1070.0999999999999</v>
      </c>
      <c r="H306">
        <f>MATCH(B306,{"January","February","March","April","May","June","July","August","September","October","November","December"},0)</f>
        <v>7</v>
      </c>
      <c r="I306" s="9">
        <f t="shared" si="13"/>
        <v>44378</v>
      </c>
      <c r="J306" t="str">
        <f t="shared" si="14"/>
        <v>Post Covid</v>
      </c>
      <c r="K306">
        <v>161.80000000000001</v>
      </c>
      <c r="L306" t="e">
        <f t="shared" si="15"/>
        <v>#N/A</v>
      </c>
    </row>
    <row r="307" spans="1:12" x14ac:dyDescent="0.3">
      <c r="A307">
        <v>2021</v>
      </c>
      <c r="B307" t="s">
        <v>39</v>
      </c>
      <c r="C307">
        <v>2147</v>
      </c>
      <c r="D307">
        <v>167</v>
      </c>
      <c r="E307">
        <v>485.4</v>
      </c>
      <c r="F307">
        <v>346.5</v>
      </c>
      <c r="G307">
        <v>1105.3</v>
      </c>
      <c r="H307">
        <f>MATCH(B307,{"January","February","March","April","May","June","July","August","September","October","November","December"},0)</f>
        <v>7</v>
      </c>
      <c r="I307" s="9">
        <f t="shared" si="13"/>
        <v>44378</v>
      </c>
      <c r="J307" t="str">
        <f t="shared" si="14"/>
        <v>Post Covid</v>
      </c>
      <c r="K307">
        <v>162.5</v>
      </c>
      <c r="L307" t="e">
        <f t="shared" si="15"/>
        <v>#N/A</v>
      </c>
    </row>
    <row r="308" spans="1:12" x14ac:dyDescent="0.3">
      <c r="A308">
        <v>2021</v>
      </c>
      <c r="B308" t="s">
        <v>40</v>
      </c>
      <c r="C308">
        <v>2130.8000000000002</v>
      </c>
      <c r="D308">
        <v>171.1</v>
      </c>
      <c r="E308">
        <v>492.7</v>
      </c>
      <c r="F308">
        <v>351.29999999999995</v>
      </c>
      <c r="G308">
        <v>1138.0999999999999</v>
      </c>
      <c r="H308">
        <f>MATCH(B308,{"January","February","March","April","May","June","July","August","September","October","November","December"},0)</f>
        <v>8</v>
      </c>
      <c r="I308" s="9">
        <f t="shared" si="13"/>
        <v>44409</v>
      </c>
      <c r="J308" t="str">
        <f t="shared" si="14"/>
        <v>Post Covid</v>
      </c>
      <c r="K308">
        <v>163.6</v>
      </c>
      <c r="L308" t="e">
        <f t="shared" si="15"/>
        <v>#N/A</v>
      </c>
    </row>
    <row r="309" spans="1:12" x14ac:dyDescent="0.3">
      <c r="A309">
        <v>2021</v>
      </c>
      <c r="B309" t="s">
        <v>40</v>
      </c>
      <c r="C309">
        <v>2157.9</v>
      </c>
      <c r="D309">
        <v>162.80000000000001</v>
      </c>
      <c r="E309">
        <v>483.19999999999993</v>
      </c>
      <c r="F309">
        <v>350.2</v>
      </c>
      <c r="G309">
        <v>1079.9000000000001</v>
      </c>
      <c r="H309">
        <f>MATCH(B309,{"January","February","March","April","May","June","July","August","September","October","November","December"},0)</f>
        <v>8</v>
      </c>
      <c r="I309" s="9">
        <f t="shared" si="13"/>
        <v>44409</v>
      </c>
      <c r="J309" t="str">
        <f t="shared" si="14"/>
        <v>Post Covid</v>
      </c>
      <c r="K309">
        <v>162.30000000000001</v>
      </c>
      <c r="L309" t="e">
        <f t="shared" si="15"/>
        <v>#N/A</v>
      </c>
    </row>
    <row r="310" spans="1:12" x14ac:dyDescent="0.3">
      <c r="A310">
        <v>2021</v>
      </c>
      <c r="B310" t="s">
        <v>40</v>
      </c>
      <c r="C310">
        <v>2142</v>
      </c>
      <c r="D310">
        <v>168.4</v>
      </c>
      <c r="E310">
        <v>488.5</v>
      </c>
      <c r="F310">
        <v>349.7</v>
      </c>
      <c r="G310">
        <v>1114.5</v>
      </c>
      <c r="H310">
        <f>MATCH(B310,{"January","February","March","April","May","June","July","August","September","October","November","December"},0)</f>
        <v>8</v>
      </c>
      <c r="I310" s="9">
        <f t="shared" si="13"/>
        <v>44409</v>
      </c>
      <c r="J310" t="str">
        <f t="shared" si="14"/>
        <v>Post Covid</v>
      </c>
      <c r="K310">
        <v>163.19999999999999</v>
      </c>
      <c r="L310" t="e">
        <f t="shared" si="15"/>
        <v>#N/A</v>
      </c>
    </row>
    <row r="311" spans="1:12" x14ac:dyDescent="0.3">
      <c r="A311">
        <v>2021</v>
      </c>
      <c r="B311" t="s">
        <v>41</v>
      </c>
      <c r="C311">
        <v>2133.6</v>
      </c>
      <c r="D311">
        <v>171.9</v>
      </c>
      <c r="E311">
        <v>494.29999999999995</v>
      </c>
      <c r="F311">
        <v>353.2</v>
      </c>
      <c r="G311">
        <v>1141.5</v>
      </c>
      <c r="H311">
        <f>MATCH(B311,{"January","February","March","April","May","June","July","August","September","October","November","December"},0)</f>
        <v>9</v>
      </c>
      <c r="I311" s="9">
        <f t="shared" si="13"/>
        <v>44440</v>
      </c>
      <c r="J311" t="str">
        <f t="shared" si="14"/>
        <v>Post Covid</v>
      </c>
      <c r="K311">
        <v>164</v>
      </c>
      <c r="L311" t="e">
        <f t="shared" si="15"/>
        <v>#N/A</v>
      </c>
    </row>
    <row r="312" spans="1:12" x14ac:dyDescent="0.3">
      <c r="A312">
        <v>2021</v>
      </c>
      <c r="B312" t="s">
        <v>41</v>
      </c>
      <c r="C312">
        <v>2157.9</v>
      </c>
      <c r="D312">
        <v>162.80000000000001</v>
      </c>
      <c r="E312">
        <v>483.2</v>
      </c>
      <c r="F312">
        <v>350.4</v>
      </c>
      <c r="G312">
        <v>1080.1999999999998</v>
      </c>
      <c r="H312">
        <f>MATCH(B312,{"January","February","March","April","May","June","July","August","September","October","November","December"},0)</f>
        <v>9</v>
      </c>
      <c r="I312" s="9">
        <f t="shared" si="13"/>
        <v>44440</v>
      </c>
      <c r="J312" t="str">
        <f t="shared" si="14"/>
        <v>Post Covid</v>
      </c>
      <c r="K312">
        <v>162.30000000000001</v>
      </c>
      <c r="L312" t="e">
        <f t="shared" si="15"/>
        <v>#N/A</v>
      </c>
    </row>
    <row r="313" spans="1:12" x14ac:dyDescent="0.3">
      <c r="A313">
        <v>2021</v>
      </c>
      <c r="B313" t="s">
        <v>41</v>
      </c>
      <c r="C313">
        <v>2142</v>
      </c>
      <c r="D313">
        <v>168.4</v>
      </c>
      <c r="E313">
        <v>488.4</v>
      </c>
      <c r="F313">
        <v>349.79999999999995</v>
      </c>
      <c r="G313">
        <v>1114.7</v>
      </c>
      <c r="H313">
        <f>MATCH(B313,{"January","February","March","April","May","June","July","August","September","October","November","December"},0)</f>
        <v>9</v>
      </c>
      <c r="I313" s="9">
        <f t="shared" si="13"/>
        <v>44440</v>
      </c>
      <c r="J313" t="str">
        <f t="shared" si="14"/>
        <v>Post Covid</v>
      </c>
      <c r="K313">
        <v>163.19999999999999</v>
      </c>
      <c r="L313" t="e">
        <f t="shared" si="15"/>
        <v>#N/A</v>
      </c>
    </row>
    <row r="314" spans="1:12" x14ac:dyDescent="0.3">
      <c r="A314">
        <v>2021</v>
      </c>
      <c r="B314" t="s">
        <v>42</v>
      </c>
      <c r="C314">
        <v>2164.1999999999998</v>
      </c>
      <c r="D314">
        <v>172.5</v>
      </c>
      <c r="E314">
        <v>498.1</v>
      </c>
      <c r="F314">
        <v>354.4</v>
      </c>
      <c r="G314">
        <v>1149.3</v>
      </c>
      <c r="H314">
        <f>MATCH(B314,{"January","February","March","April","May","June","July","August","September","October","November","December"},0)</f>
        <v>10</v>
      </c>
      <c r="I314" s="9">
        <f t="shared" si="13"/>
        <v>44470</v>
      </c>
      <c r="J314" t="str">
        <f t="shared" si="14"/>
        <v>Post Covid</v>
      </c>
      <c r="K314">
        <v>166.3</v>
      </c>
      <c r="L314" t="e">
        <f t="shared" si="15"/>
        <v>#N/A</v>
      </c>
    </row>
    <row r="315" spans="1:12" x14ac:dyDescent="0.3">
      <c r="A315">
        <v>2021</v>
      </c>
      <c r="B315" t="s">
        <v>42</v>
      </c>
      <c r="C315">
        <v>2198.4000000000005</v>
      </c>
      <c r="D315">
        <v>163.5</v>
      </c>
      <c r="E315">
        <v>486.09999999999997</v>
      </c>
      <c r="F315">
        <v>352.1</v>
      </c>
      <c r="G315">
        <v>1087.3</v>
      </c>
      <c r="H315">
        <f>MATCH(B315,{"January","February","March","April","May","June","July","August","September","October","November","December"},0)</f>
        <v>10</v>
      </c>
      <c r="I315" s="9">
        <f t="shared" si="13"/>
        <v>44470</v>
      </c>
      <c r="J315" t="str">
        <f t="shared" si="14"/>
        <v>Post Covid</v>
      </c>
      <c r="K315">
        <v>164.6</v>
      </c>
      <c r="L315" t="e">
        <f t="shared" si="15"/>
        <v>#N/A</v>
      </c>
    </row>
    <row r="316" spans="1:12" x14ac:dyDescent="0.3">
      <c r="A316">
        <v>2021</v>
      </c>
      <c r="B316" t="s">
        <v>42</v>
      </c>
      <c r="C316">
        <v>2175.5</v>
      </c>
      <c r="D316">
        <v>169.1</v>
      </c>
      <c r="E316">
        <v>491.69999999999993</v>
      </c>
      <c r="F316">
        <v>351.29999999999995</v>
      </c>
      <c r="G316">
        <v>1122.2</v>
      </c>
      <c r="H316">
        <f>MATCH(B316,{"January","February","March","April","May","June","July","August","September","October","November","December"},0)</f>
        <v>10</v>
      </c>
      <c r="I316" s="9">
        <f t="shared" si="13"/>
        <v>44470</v>
      </c>
      <c r="J316" t="str">
        <f t="shared" si="14"/>
        <v>Post Covid</v>
      </c>
      <c r="K316">
        <v>165.5</v>
      </c>
      <c r="L316" t="e">
        <f t="shared" si="15"/>
        <v>#N/A</v>
      </c>
    </row>
    <row r="317" spans="1:12" x14ac:dyDescent="0.3">
      <c r="A317">
        <v>2021</v>
      </c>
      <c r="B317" t="s">
        <v>44</v>
      </c>
      <c r="C317">
        <v>2182</v>
      </c>
      <c r="D317">
        <v>173.4</v>
      </c>
      <c r="E317">
        <v>498.8</v>
      </c>
      <c r="F317">
        <v>355.20000000000005</v>
      </c>
      <c r="G317">
        <v>1155.5999999999999</v>
      </c>
      <c r="H317">
        <f>MATCH(B317,{"January","February","March","April","May","June","July","August","September","October","November","December"},0)</f>
        <v>11</v>
      </c>
      <c r="I317" s="9">
        <f t="shared" si="13"/>
        <v>44501</v>
      </c>
      <c r="J317" t="str">
        <f t="shared" si="14"/>
        <v>Post Covid</v>
      </c>
      <c r="K317">
        <v>167.6</v>
      </c>
      <c r="L317" t="e">
        <f t="shared" si="15"/>
        <v>#N/A</v>
      </c>
    </row>
    <row r="318" spans="1:12" x14ac:dyDescent="0.3">
      <c r="A318">
        <v>2021</v>
      </c>
      <c r="B318" t="s">
        <v>44</v>
      </c>
      <c r="C318">
        <v>2217.8999999999996</v>
      </c>
      <c r="D318">
        <v>164.2</v>
      </c>
      <c r="E318">
        <v>486.59999999999997</v>
      </c>
      <c r="F318">
        <v>353.7</v>
      </c>
      <c r="G318">
        <v>1092.8</v>
      </c>
      <c r="H318">
        <f>MATCH(B318,{"January","February","March","April","May","June","July","August","September","October","November","December"},0)</f>
        <v>11</v>
      </c>
      <c r="I318" s="9">
        <f t="shared" si="13"/>
        <v>44501</v>
      </c>
      <c r="J318" t="str">
        <f t="shared" si="14"/>
        <v>Post Covid</v>
      </c>
      <c r="K318">
        <v>165.6</v>
      </c>
      <c r="L318" t="e">
        <f t="shared" si="15"/>
        <v>#N/A</v>
      </c>
    </row>
    <row r="319" spans="1:12" x14ac:dyDescent="0.3">
      <c r="A319">
        <v>2021</v>
      </c>
      <c r="B319" t="s">
        <v>44</v>
      </c>
      <c r="C319">
        <v>2194.1</v>
      </c>
      <c r="D319">
        <v>169.9</v>
      </c>
      <c r="E319">
        <v>492.40000000000003</v>
      </c>
      <c r="F319">
        <v>352.70000000000005</v>
      </c>
      <c r="G319">
        <v>1128.1000000000001</v>
      </c>
      <c r="H319">
        <f>MATCH(B319,{"January","February","March","April","May","June","July","August","September","October","November","December"},0)</f>
        <v>11</v>
      </c>
      <c r="I319" s="9">
        <f t="shared" si="13"/>
        <v>44501</v>
      </c>
      <c r="J319" t="str">
        <f t="shared" si="14"/>
        <v>Post Covid</v>
      </c>
      <c r="K319">
        <v>166.7</v>
      </c>
      <c r="L319" t="e">
        <f t="shared" si="15"/>
        <v>#N/A</v>
      </c>
    </row>
    <row r="320" spans="1:12" x14ac:dyDescent="0.3">
      <c r="A320">
        <v>2021</v>
      </c>
      <c r="B320" t="s">
        <v>45</v>
      </c>
      <c r="C320">
        <v>2168.1999999999998</v>
      </c>
      <c r="D320">
        <v>174</v>
      </c>
      <c r="E320">
        <v>498.7</v>
      </c>
      <c r="F320">
        <v>355.3</v>
      </c>
      <c r="G320">
        <v>1163.1000000000001</v>
      </c>
      <c r="H320">
        <f>MATCH(B320,{"January","February","March","April","May","June","July","August","September","October","November","December"},0)</f>
        <v>12</v>
      </c>
      <c r="I320" s="9">
        <f t="shared" si="13"/>
        <v>44531</v>
      </c>
      <c r="J320" t="str">
        <f t="shared" si="14"/>
        <v>Post Covid</v>
      </c>
      <c r="K320">
        <v>167</v>
      </c>
      <c r="L320" t="e">
        <f t="shared" si="15"/>
        <v>#N/A</v>
      </c>
    </row>
    <row r="321" spans="1:12" x14ac:dyDescent="0.3">
      <c r="A321">
        <v>2021</v>
      </c>
      <c r="B321" t="s">
        <v>45</v>
      </c>
      <c r="C321">
        <v>2206.3000000000002</v>
      </c>
      <c r="D321">
        <v>165.1</v>
      </c>
      <c r="E321">
        <v>485.70000000000005</v>
      </c>
      <c r="F321">
        <v>354.4</v>
      </c>
      <c r="G321">
        <v>1098.7</v>
      </c>
      <c r="H321">
        <f>MATCH(B321,{"January","February","March","April","May","June","July","August","September","October","November","December"},0)</f>
        <v>12</v>
      </c>
      <c r="I321" s="9">
        <f t="shared" si="13"/>
        <v>44531</v>
      </c>
      <c r="J321" t="str">
        <f t="shared" si="14"/>
        <v>Post Covid</v>
      </c>
      <c r="K321">
        <v>165.2</v>
      </c>
      <c r="L321" t="e">
        <f t="shared" si="15"/>
        <v>#N/A</v>
      </c>
    </row>
    <row r="322" spans="1:12" x14ac:dyDescent="0.3">
      <c r="A322">
        <v>2021</v>
      </c>
      <c r="B322" t="s">
        <v>45</v>
      </c>
      <c r="C322">
        <v>2180.9</v>
      </c>
      <c r="D322">
        <v>170.6</v>
      </c>
      <c r="E322">
        <v>491.9</v>
      </c>
      <c r="F322">
        <v>353</v>
      </c>
      <c r="G322">
        <v>1134.6999999999998</v>
      </c>
      <c r="H322">
        <f>MATCH(B322,{"January","February","March","April","May","June","July","August","September","October","November","December"},0)</f>
        <v>12</v>
      </c>
      <c r="I322" s="9">
        <f t="shared" si="13"/>
        <v>44531</v>
      </c>
      <c r="J322" t="str">
        <f t="shared" si="14"/>
        <v>Post Covid</v>
      </c>
      <c r="K322">
        <v>166.2</v>
      </c>
      <c r="L322" t="e">
        <f t="shared" si="15"/>
        <v>#N/A</v>
      </c>
    </row>
    <row r="323" spans="1:12" x14ac:dyDescent="0.3">
      <c r="A323">
        <v>2022</v>
      </c>
      <c r="B323" t="s">
        <v>31</v>
      </c>
      <c r="C323">
        <v>2153</v>
      </c>
      <c r="D323">
        <v>174.7</v>
      </c>
      <c r="E323">
        <v>500.20000000000005</v>
      </c>
      <c r="F323">
        <v>355.6</v>
      </c>
      <c r="G323">
        <v>1170.7</v>
      </c>
      <c r="H323">
        <f>MATCH(B323,{"January","February","March","April","May","June","July","August","September","October","November","December"},0)</f>
        <v>1</v>
      </c>
      <c r="I323" s="9">
        <f t="shared" ref="I323:I373" si="18">DATE(A323,H323,1)</f>
        <v>44562</v>
      </c>
      <c r="J323" t="str">
        <f t="shared" ref="J323:J373" si="19">IF(I323&lt;DATE(2020,3,1),"Pre Covid","Post Covid")</f>
        <v>Post Covid</v>
      </c>
      <c r="K323">
        <v>166.4</v>
      </c>
      <c r="L323" t="e">
        <f t="shared" ref="L323:L373" si="20">IF(I323=DATE(2020,3,1),MAX(K323:K694),NA())</f>
        <v>#N/A</v>
      </c>
    </row>
    <row r="324" spans="1:12" x14ac:dyDescent="0.3">
      <c r="A324">
        <v>2022</v>
      </c>
      <c r="B324" t="s">
        <v>31</v>
      </c>
      <c r="C324">
        <v>2186.6999999999998</v>
      </c>
      <c r="D324">
        <v>166.1</v>
      </c>
      <c r="E324">
        <v>487.1</v>
      </c>
      <c r="F324">
        <v>354.8</v>
      </c>
      <c r="G324">
        <v>1106.3</v>
      </c>
      <c r="H324">
        <f>MATCH(B324,{"January","February","March","April","May","June","July","August","September","October","November","December"},0)</f>
        <v>1</v>
      </c>
      <c r="I324" s="9">
        <f t="shared" si="18"/>
        <v>44562</v>
      </c>
      <c r="J324" t="str">
        <f t="shared" si="19"/>
        <v>Post Covid</v>
      </c>
      <c r="K324">
        <v>165</v>
      </c>
      <c r="L324" t="e">
        <f t="shared" si="20"/>
        <v>#N/A</v>
      </c>
    </row>
    <row r="325" spans="1:12" x14ac:dyDescent="0.3">
      <c r="A325">
        <v>2022</v>
      </c>
      <c r="B325" t="s">
        <v>31</v>
      </c>
      <c r="C325">
        <v>2164.1999999999998</v>
      </c>
      <c r="D325">
        <v>171.4</v>
      </c>
      <c r="E325">
        <v>493.4</v>
      </c>
      <c r="F325">
        <v>353.4</v>
      </c>
      <c r="G325">
        <v>1142.4000000000001</v>
      </c>
      <c r="H325">
        <f>MATCH(B325,{"January","February","March","April","May","June","July","August","September","October","November","December"},0)</f>
        <v>1</v>
      </c>
      <c r="I325" s="9">
        <f t="shared" si="18"/>
        <v>44562</v>
      </c>
      <c r="J325" t="str">
        <f t="shared" si="19"/>
        <v>Post Covid</v>
      </c>
      <c r="K325">
        <v>165.7</v>
      </c>
      <c r="L325" t="e">
        <f t="shared" si="20"/>
        <v>#N/A</v>
      </c>
    </row>
    <row r="326" spans="1:12" x14ac:dyDescent="0.3">
      <c r="A326">
        <v>2022</v>
      </c>
      <c r="B326" t="s">
        <v>34</v>
      </c>
      <c r="C326">
        <v>2150.4</v>
      </c>
      <c r="D326">
        <v>175.3</v>
      </c>
      <c r="E326">
        <v>503.2</v>
      </c>
      <c r="F326">
        <v>357</v>
      </c>
      <c r="G326">
        <v>1177.5</v>
      </c>
      <c r="H326">
        <f>MATCH(B326,{"January","February","March","April","May","June","July","August","September","October","November","December"},0)</f>
        <v>2</v>
      </c>
      <c r="I326" s="9">
        <f t="shared" si="18"/>
        <v>44593</v>
      </c>
      <c r="J326" t="str">
        <f t="shared" si="19"/>
        <v>Post Covid</v>
      </c>
      <c r="K326">
        <v>166.7</v>
      </c>
      <c r="L326" t="e">
        <f t="shared" si="20"/>
        <v>#N/A</v>
      </c>
    </row>
    <row r="327" spans="1:12" x14ac:dyDescent="0.3">
      <c r="A327">
        <v>2022</v>
      </c>
      <c r="B327" t="s">
        <v>34</v>
      </c>
      <c r="C327">
        <v>2183.5</v>
      </c>
      <c r="D327">
        <v>167.2</v>
      </c>
      <c r="E327">
        <v>490.5</v>
      </c>
      <c r="F327">
        <v>356</v>
      </c>
      <c r="G327">
        <v>1113.6000000000001</v>
      </c>
      <c r="H327">
        <f>MATCH(B327,{"January","February","March","April","May","June","July","August","September","October","November","December"},0)</f>
        <v>2</v>
      </c>
      <c r="I327" s="9">
        <f t="shared" si="18"/>
        <v>44593</v>
      </c>
      <c r="J327" t="str">
        <f t="shared" si="19"/>
        <v>Post Covid</v>
      </c>
      <c r="K327">
        <v>165.5</v>
      </c>
      <c r="L327" t="e">
        <f t="shared" si="20"/>
        <v>#N/A</v>
      </c>
    </row>
    <row r="328" spans="1:12" x14ac:dyDescent="0.3">
      <c r="A328">
        <v>2022</v>
      </c>
      <c r="B328" t="s">
        <v>34</v>
      </c>
      <c r="C328">
        <v>2161.2000000000003</v>
      </c>
      <c r="D328">
        <v>172.2</v>
      </c>
      <c r="E328">
        <v>496.6</v>
      </c>
      <c r="F328">
        <v>354.9</v>
      </c>
      <c r="G328">
        <v>1149.4000000000001</v>
      </c>
      <c r="H328">
        <f>MATCH(B328,{"January","February","March","April","May","June","July","August","September","October","November","December"},0)</f>
        <v>2</v>
      </c>
      <c r="I328" s="9">
        <f t="shared" si="18"/>
        <v>44593</v>
      </c>
      <c r="J328" t="str">
        <f t="shared" si="19"/>
        <v>Post Covid</v>
      </c>
      <c r="K328">
        <v>166.1</v>
      </c>
      <c r="L328" t="e">
        <f t="shared" si="20"/>
        <v>#N/A</v>
      </c>
    </row>
    <row r="329" spans="1:12" x14ac:dyDescent="0.3">
      <c r="A329">
        <v>2022</v>
      </c>
      <c r="B329" t="s">
        <v>35</v>
      </c>
      <c r="C329">
        <v>2179.1000000000004</v>
      </c>
      <c r="D329">
        <v>176</v>
      </c>
      <c r="E329">
        <v>504.80000000000007</v>
      </c>
      <c r="F329">
        <v>358.9</v>
      </c>
      <c r="G329">
        <v>1187.9000000000001</v>
      </c>
      <c r="H329">
        <f>MATCH(B329,{"January","February","March","April","May","June","July","August","September","October","November","December"},0)</f>
        <v>3</v>
      </c>
      <c r="I329" s="9">
        <f t="shared" si="18"/>
        <v>44621</v>
      </c>
      <c r="J329" t="str">
        <f t="shared" si="19"/>
        <v>Post Covid</v>
      </c>
      <c r="K329">
        <v>168.7</v>
      </c>
      <c r="L329" t="e">
        <f t="shared" si="20"/>
        <v>#N/A</v>
      </c>
    </row>
    <row r="330" spans="1:12" x14ac:dyDescent="0.3">
      <c r="A330">
        <v>2022</v>
      </c>
      <c r="B330" t="s">
        <v>35</v>
      </c>
      <c r="C330">
        <v>2196.3000000000002</v>
      </c>
      <c r="D330">
        <v>168.2</v>
      </c>
      <c r="E330">
        <v>492.5</v>
      </c>
      <c r="F330">
        <v>358.3</v>
      </c>
      <c r="G330">
        <v>1124.8</v>
      </c>
      <c r="H330">
        <f>MATCH(B330,{"January","February","March","April","May","June","July","August","September","October","November","December"},0)</f>
        <v>3</v>
      </c>
      <c r="I330" s="9">
        <f t="shared" si="18"/>
        <v>44621</v>
      </c>
      <c r="J330" t="str">
        <f t="shared" si="19"/>
        <v>Post Covid</v>
      </c>
      <c r="K330">
        <v>166.5</v>
      </c>
      <c r="L330" t="e">
        <f t="shared" si="20"/>
        <v>#N/A</v>
      </c>
    </row>
    <row r="331" spans="1:12" x14ac:dyDescent="0.3">
      <c r="A331">
        <v>2022</v>
      </c>
      <c r="B331" t="s">
        <v>35</v>
      </c>
      <c r="C331">
        <v>2184.2000000000003</v>
      </c>
      <c r="D331">
        <v>173</v>
      </c>
      <c r="E331">
        <v>498.5</v>
      </c>
      <c r="F331">
        <v>357</v>
      </c>
      <c r="G331">
        <v>1160.2999999999997</v>
      </c>
      <c r="H331">
        <f>MATCH(B331,{"January","February","March","April","May","June","July","August","September","October","November","December"},0)</f>
        <v>3</v>
      </c>
      <c r="I331" s="9">
        <f t="shared" si="18"/>
        <v>44621</v>
      </c>
      <c r="J331" t="str">
        <f t="shared" si="19"/>
        <v>Post Covid</v>
      </c>
      <c r="K331">
        <v>167.7</v>
      </c>
      <c r="L331" t="e">
        <f t="shared" si="20"/>
        <v>#N/A</v>
      </c>
    </row>
    <row r="332" spans="1:12" x14ac:dyDescent="0.3">
      <c r="A332">
        <v>2022</v>
      </c>
      <c r="B332" t="s">
        <v>36</v>
      </c>
      <c r="C332">
        <v>2206.6</v>
      </c>
      <c r="D332">
        <v>177</v>
      </c>
      <c r="E332">
        <v>511.20000000000005</v>
      </c>
      <c r="F332">
        <v>360</v>
      </c>
      <c r="G332">
        <v>1202.8000000000002</v>
      </c>
      <c r="H332">
        <f>MATCH(B332,{"January","February","March","April","May","June","July","August","September","October","November","December"},0)</f>
        <v>4</v>
      </c>
      <c r="I332" s="9">
        <f t="shared" si="18"/>
        <v>44652</v>
      </c>
      <c r="J332" t="str">
        <f t="shared" si="19"/>
        <v>Post Covid</v>
      </c>
      <c r="K332">
        <v>170.8</v>
      </c>
      <c r="L332" t="e">
        <f t="shared" si="20"/>
        <v>#N/A</v>
      </c>
    </row>
    <row r="333" spans="1:12" x14ac:dyDescent="0.3">
      <c r="A333">
        <v>2022</v>
      </c>
      <c r="B333" t="s">
        <v>36</v>
      </c>
      <c r="C333">
        <v>2230.4</v>
      </c>
      <c r="D333">
        <v>169</v>
      </c>
      <c r="E333">
        <v>501.5</v>
      </c>
      <c r="F333">
        <v>359.29999999999995</v>
      </c>
      <c r="G333">
        <v>1139.8</v>
      </c>
      <c r="H333">
        <f>MATCH(B333,{"January","February","March","April","May","June","July","August","September","October","November","December"},0)</f>
        <v>4</v>
      </c>
      <c r="I333" s="9">
        <f t="shared" si="18"/>
        <v>44652</v>
      </c>
      <c r="J333" t="str">
        <f t="shared" si="19"/>
        <v>Post Covid</v>
      </c>
      <c r="K333">
        <v>169.2</v>
      </c>
      <c r="L333" t="e">
        <f t="shared" si="20"/>
        <v>#N/A</v>
      </c>
    </row>
    <row r="334" spans="1:12" x14ac:dyDescent="0.3">
      <c r="A334">
        <v>2022</v>
      </c>
      <c r="B334" t="s">
        <v>36</v>
      </c>
      <c r="C334">
        <v>2214.3000000000002</v>
      </c>
      <c r="D334">
        <v>174</v>
      </c>
      <c r="E334">
        <v>506.1</v>
      </c>
      <c r="F334">
        <v>358.3</v>
      </c>
      <c r="G334">
        <v>1175.4000000000001</v>
      </c>
      <c r="H334">
        <f>MATCH(B334,{"January","February","March","April","May","June","July","August","September","October","November","December"},0)</f>
        <v>4</v>
      </c>
      <c r="I334" s="9">
        <f t="shared" si="18"/>
        <v>44652</v>
      </c>
      <c r="J334" t="str">
        <f t="shared" si="19"/>
        <v>Post Covid</v>
      </c>
      <c r="K334">
        <v>170.1</v>
      </c>
      <c r="L334" t="e">
        <f t="shared" si="20"/>
        <v>#N/A</v>
      </c>
    </row>
    <row r="335" spans="1:12" x14ac:dyDescent="0.3">
      <c r="A335">
        <v>2022</v>
      </c>
      <c r="B335" t="s">
        <v>37</v>
      </c>
      <c r="C335">
        <v>2226.8000000000002</v>
      </c>
      <c r="D335">
        <v>177.7</v>
      </c>
      <c r="E335">
        <v>514.6</v>
      </c>
      <c r="F335">
        <v>360.5</v>
      </c>
      <c r="G335">
        <v>1210.9000000000001</v>
      </c>
      <c r="H335">
        <f>MATCH(B335,{"January","February","March","April","May","June","July","August","September","October","November","December"},0)</f>
        <v>5</v>
      </c>
      <c r="I335" s="9">
        <f t="shared" si="18"/>
        <v>44682</v>
      </c>
      <c r="J335" t="str">
        <f t="shared" si="19"/>
        <v>Post Covid</v>
      </c>
      <c r="K335">
        <v>172.5</v>
      </c>
      <c r="L335" t="e">
        <f t="shared" si="20"/>
        <v>#N/A</v>
      </c>
    </row>
    <row r="336" spans="1:12" x14ac:dyDescent="0.3">
      <c r="A336">
        <v>2022</v>
      </c>
      <c r="B336" t="s">
        <v>37</v>
      </c>
      <c r="C336">
        <v>2262.2000000000003</v>
      </c>
      <c r="D336">
        <v>170.1</v>
      </c>
      <c r="E336">
        <v>506.2</v>
      </c>
      <c r="F336">
        <v>360.7</v>
      </c>
      <c r="G336">
        <v>1146.1999999999998</v>
      </c>
      <c r="H336">
        <f>MATCH(B336,{"January","February","March","April","May","June","July","August","September","October","November","December"},0)</f>
        <v>5</v>
      </c>
      <c r="I336" s="9">
        <f t="shared" si="18"/>
        <v>44682</v>
      </c>
      <c r="J336" t="str">
        <f t="shared" si="19"/>
        <v>Post Covid</v>
      </c>
      <c r="K336">
        <v>170.8</v>
      </c>
      <c r="L336" t="e">
        <f t="shared" si="20"/>
        <v>#N/A</v>
      </c>
    </row>
    <row r="337" spans="1:12" x14ac:dyDescent="0.3">
      <c r="A337">
        <v>2022</v>
      </c>
      <c r="B337" t="s">
        <v>37</v>
      </c>
      <c r="C337">
        <v>2238.9000000000005</v>
      </c>
      <c r="D337">
        <v>174.8</v>
      </c>
      <c r="E337">
        <v>510</v>
      </c>
      <c r="F337">
        <v>359.2</v>
      </c>
      <c r="G337">
        <v>1182.6999999999998</v>
      </c>
      <c r="H337">
        <f>MATCH(B337,{"January","February","March","April","May","June","July","August","September","October","November","December"},0)</f>
        <v>5</v>
      </c>
      <c r="I337" s="9">
        <f t="shared" si="18"/>
        <v>44682</v>
      </c>
      <c r="J337" t="str">
        <f t="shared" si="19"/>
        <v>Post Covid</v>
      </c>
      <c r="K337">
        <v>171.7</v>
      </c>
      <c r="L337" t="e">
        <f t="shared" si="20"/>
        <v>#N/A</v>
      </c>
    </row>
    <row r="338" spans="1:12" x14ac:dyDescent="0.3">
      <c r="A338">
        <v>2022</v>
      </c>
      <c r="B338" t="s">
        <v>38</v>
      </c>
      <c r="C338">
        <v>2248.3000000000002</v>
      </c>
      <c r="D338">
        <v>178.2</v>
      </c>
      <c r="E338">
        <v>516.1</v>
      </c>
      <c r="F338">
        <v>360.9</v>
      </c>
      <c r="G338">
        <v>1216.0999999999999</v>
      </c>
      <c r="H338">
        <f>MATCH(B338,{"January","February","March","April","May","June","July","August","September","October","November","December"},0)</f>
        <v>6</v>
      </c>
      <c r="I338" s="9">
        <f t="shared" si="18"/>
        <v>44713</v>
      </c>
      <c r="J338" t="str">
        <f t="shared" si="19"/>
        <v>Post Covid</v>
      </c>
      <c r="K338">
        <v>173.6</v>
      </c>
      <c r="L338" t="e">
        <f t="shared" si="20"/>
        <v>#N/A</v>
      </c>
    </row>
    <row r="339" spans="1:12" x14ac:dyDescent="0.3">
      <c r="A339">
        <v>2022</v>
      </c>
      <c r="B339" t="s">
        <v>38</v>
      </c>
      <c r="C339">
        <v>2287.5</v>
      </c>
      <c r="D339">
        <v>170.9</v>
      </c>
      <c r="E339">
        <v>508.20000000000005</v>
      </c>
      <c r="F339">
        <v>362.4</v>
      </c>
      <c r="G339">
        <v>1150.7</v>
      </c>
      <c r="H339">
        <f>MATCH(B339,{"January","February","March","April","May","June","July","August","September","October","November","December"},0)</f>
        <v>6</v>
      </c>
      <c r="I339" s="9">
        <f t="shared" si="18"/>
        <v>44713</v>
      </c>
      <c r="J339" t="str">
        <f t="shared" si="19"/>
        <v>Post Covid</v>
      </c>
      <c r="K339">
        <v>171.4</v>
      </c>
      <c r="L339" t="e">
        <f t="shared" si="20"/>
        <v>#N/A</v>
      </c>
    </row>
    <row r="340" spans="1:12" x14ac:dyDescent="0.3">
      <c r="A340">
        <v>2022</v>
      </c>
      <c r="B340" t="s">
        <v>38</v>
      </c>
      <c r="C340">
        <v>2261.9</v>
      </c>
      <c r="D340">
        <v>175.4</v>
      </c>
      <c r="E340">
        <v>511.8</v>
      </c>
      <c r="F340">
        <v>360.1</v>
      </c>
      <c r="G340">
        <v>1187.4000000000001</v>
      </c>
      <c r="H340">
        <f>MATCH(B340,{"January","February","March","April","May","June","July","August","September","October","November","December"},0)</f>
        <v>6</v>
      </c>
      <c r="I340" s="9">
        <f t="shared" si="18"/>
        <v>44713</v>
      </c>
      <c r="J340" t="str">
        <f t="shared" si="19"/>
        <v>Post Covid</v>
      </c>
      <c r="K340">
        <v>172.6</v>
      </c>
      <c r="L340" t="e">
        <f t="shared" si="20"/>
        <v>#N/A</v>
      </c>
    </row>
    <row r="341" spans="1:12" x14ac:dyDescent="0.3">
      <c r="A341">
        <v>2022</v>
      </c>
      <c r="B341" t="s">
        <v>39</v>
      </c>
      <c r="C341">
        <v>2252.5</v>
      </c>
      <c r="D341">
        <v>178.8</v>
      </c>
      <c r="E341">
        <v>522.09999999999991</v>
      </c>
      <c r="F341">
        <v>361.79999999999995</v>
      </c>
      <c r="G341">
        <v>1223.0999999999999</v>
      </c>
      <c r="H341">
        <f>MATCH(B341,{"January","February","March","April","May","June","July","August","September","October","November","December"},0)</f>
        <v>7</v>
      </c>
      <c r="I341" s="9">
        <f t="shared" si="18"/>
        <v>44743</v>
      </c>
      <c r="J341" t="str">
        <f t="shared" si="19"/>
        <v>Post Covid</v>
      </c>
      <c r="K341">
        <v>174.3</v>
      </c>
      <c r="L341" t="e">
        <f t="shared" si="20"/>
        <v>#N/A</v>
      </c>
    </row>
    <row r="342" spans="1:12" x14ac:dyDescent="0.3">
      <c r="A342">
        <v>2022</v>
      </c>
      <c r="B342" t="s">
        <v>39</v>
      </c>
      <c r="C342">
        <v>2291.6</v>
      </c>
      <c r="D342">
        <v>171.7</v>
      </c>
      <c r="E342">
        <v>516.4</v>
      </c>
      <c r="F342">
        <v>363.2</v>
      </c>
      <c r="G342">
        <v>1157</v>
      </c>
      <c r="H342">
        <f>MATCH(B342,{"January","February","March","April","May","June","July","August","September","October","November","December"},0)</f>
        <v>7</v>
      </c>
      <c r="I342" s="9">
        <f t="shared" si="18"/>
        <v>44743</v>
      </c>
      <c r="J342" t="str">
        <f t="shared" si="19"/>
        <v>Post Covid</v>
      </c>
      <c r="K342">
        <v>172.3</v>
      </c>
      <c r="L342" t="e">
        <f t="shared" si="20"/>
        <v>#N/A</v>
      </c>
    </row>
    <row r="343" spans="1:12" x14ac:dyDescent="0.3">
      <c r="A343">
        <v>2022</v>
      </c>
      <c r="B343" t="s">
        <v>39</v>
      </c>
      <c r="C343">
        <v>2266.3000000000002</v>
      </c>
      <c r="D343">
        <v>176.1</v>
      </c>
      <c r="E343">
        <v>518.79999999999995</v>
      </c>
      <c r="F343">
        <v>360.9</v>
      </c>
      <c r="G343">
        <v>1194.0000000000002</v>
      </c>
      <c r="H343">
        <f>MATCH(B343,{"January","February","March","April","May","June","July","August","September","October","November","December"},0)</f>
        <v>7</v>
      </c>
      <c r="I343" s="9">
        <f t="shared" si="18"/>
        <v>44743</v>
      </c>
      <c r="J343" t="str">
        <f t="shared" si="19"/>
        <v>Post Covid</v>
      </c>
      <c r="K343">
        <v>173.4</v>
      </c>
      <c r="L343" t="e">
        <f t="shared" si="20"/>
        <v>#N/A</v>
      </c>
    </row>
    <row r="344" spans="1:12" x14ac:dyDescent="0.3">
      <c r="A344">
        <v>2022</v>
      </c>
      <c r="B344" t="s">
        <v>40</v>
      </c>
      <c r="C344">
        <v>2255.7999999999997</v>
      </c>
      <c r="D344">
        <v>179.4</v>
      </c>
      <c r="E344">
        <v>523.79999999999995</v>
      </c>
      <c r="F344">
        <v>363</v>
      </c>
      <c r="G344">
        <v>1230.5</v>
      </c>
      <c r="H344">
        <f>MATCH(B344,{"January","February","March","April","May","June","July","August","September","October","November","December"},0)</f>
        <v>8</v>
      </c>
      <c r="I344" s="9">
        <f t="shared" si="18"/>
        <v>44774</v>
      </c>
      <c r="J344" t="str">
        <f t="shared" si="19"/>
        <v>Post Covid</v>
      </c>
      <c r="K344">
        <v>175.3</v>
      </c>
      <c r="L344" t="e">
        <f t="shared" si="20"/>
        <v>#N/A</v>
      </c>
    </row>
    <row r="345" spans="1:12" x14ac:dyDescent="0.3">
      <c r="A345">
        <v>2022</v>
      </c>
      <c r="B345" t="s">
        <v>40</v>
      </c>
      <c r="C345">
        <v>2293.6999999999998</v>
      </c>
      <c r="D345">
        <v>172.6</v>
      </c>
      <c r="E345">
        <v>517.29999999999995</v>
      </c>
      <c r="F345">
        <v>363.79999999999995</v>
      </c>
      <c r="G345">
        <v>1164</v>
      </c>
      <c r="H345">
        <f>MATCH(B345,{"January","February","March","April","May","June","July","August","September","October","November","December"},0)</f>
        <v>8</v>
      </c>
      <c r="I345" s="9">
        <f t="shared" si="18"/>
        <v>44774</v>
      </c>
      <c r="J345" t="str">
        <f t="shared" si="19"/>
        <v>Post Covid</v>
      </c>
      <c r="K345">
        <v>173.1</v>
      </c>
      <c r="L345" t="e">
        <f t="shared" si="20"/>
        <v>#N/A</v>
      </c>
    </row>
    <row r="346" spans="1:12" x14ac:dyDescent="0.3">
      <c r="A346">
        <v>2022</v>
      </c>
      <c r="B346" t="s">
        <v>40</v>
      </c>
      <c r="C346">
        <v>2269.2000000000003</v>
      </c>
      <c r="D346">
        <v>176.8</v>
      </c>
      <c r="E346">
        <v>520.1</v>
      </c>
      <c r="F346">
        <v>361.9</v>
      </c>
      <c r="G346">
        <v>1201.3999999999999</v>
      </c>
      <c r="H346">
        <f>MATCH(B346,{"January","February","March","April","May","June","July","August","September","October","November","December"},0)</f>
        <v>8</v>
      </c>
      <c r="I346" s="9">
        <f t="shared" si="18"/>
        <v>44774</v>
      </c>
      <c r="J346" t="str">
        <f t="shared" si="19"/>
        <v>Post Covid</v>
      </c>
      <c r="K346">
        <v>174.3</v>
      </c>
      <c r="L346" t="e">
        <f t="shared" si="20"/>
        <v>#N/A</v>
      </c>
    </row>
    <row r="347" spans="1:12" x14ac:dyDescent="0.3">
      <c r="A347">
        <v>2022</v>
      </c>
      <c r="B347" t="s">
        <v>41</v>
      </c>
      <c r="C347">
        <v>2267.8000000000002</v>
      </c>
      <c r="D347">
        <v>180.2</v>
      </c>
      <c r="E347">
        <v>525.4</v>
      </c>
      <c r="F347">
        <v>364.5</v>
      </c>
      <c r="G347">
        <v>1236.8999999999999</v>
      </c>
      <c r="H347">
        <f>MATCH(B347,{"January","February","March","April","May","June","July","August","September","October","November","December"},0)</f>
        <v>9</v>
      </c>
      <c r="I347" s="9">
        <f t="shared" si="18"/>
        <v>44805</v>
      </c>
      <c r="J347" t="str">
        <f t="shared" si="19"/>
        <v>Post Covid</v>
      </c>
      <c r="K347">
        <v>176.4</v>
      </c>
      <c r="L347" t="e">
        <f t="shared" si="20"/>
        <v>#N/A</v>
      </c>
    </row>
    <row r="348" spans="1:12" x14ac:dyDescent="0.3">
      <c r="A348">
        <v>2022</v>
      </c>
      <c r="B348" t="s">
        <v>41</v>
      </c>
      <c r="C348">
        <v>2306.4</v>
      </c>
      <c r="D348">
        <v>173.8</v>
      </c>
      <c r="E348">
        <v>519.6</v>
      </c>
      <c r="F348">
        <v>365.5</v>
      </c>
      <c r="G348">
        <v>1170.1000000000001</v>
      </c>
      <c r="H348">
        <f>MATCH(B348,{"January","February","March","April","May","June","July","August","September","October","November","December"},0)</f>
        <v>9</v>
      </c>
      <c r="I348" s="9">
        <f t="shared" si="18"/>
        <v>44805</v>
      </c>
      <c r="J348" t="str">
        <f t="shared" si="19"/>
        <v>Post Covid</v>
      </c>
      <c r="K348">
        <v>174.1</v>
      </c>
      <c r="L348" t="e">
        <f t="shared" si="20"/>
        <v>#N/A</v>
      </c>
    </row>
    <row r="349" spans="1:12" x14ac:dyDescent="0.3">
      <c r="A349">
        <v>2022</v>
      </c>
      <c r="B349" t="s">
        <v>41</v>
      </c>
      <c r="C349">
        <v>2280.9</v>
      </c>
      <c r="D349">
        <v>177.8</v>
      </c>
      <c r="E349">
        <v>522.1</v>
      </c>
      <c r="F349">
        <v>363.5</v>
      </c>
      <c r="G349">
        <v>1207.5000000000002</v>
      </c>
      <c r="H349">
        <f>MATCH(B349,{"January","February","March","April","May","June","July","August","September","October","November","December"},0)</f>
        <v>9</v>
      </c>
      <c r="I349" s="9">
        <f t="shared" si="18"/>
        <v>44805</v>
      </c>
      <c r="J349" t="str">
        <f t="shared" si="19"/>
        <v>Post Covid</v>
      </c>
      <c r="K349">
        <v>175.3</v>
      </c>
      <c r="L349" t="e">
        <f t="shared" si="20"/>
        <v>#N/A</v>
      </c>
    </row>
    <row r="350" spans="1:12" x14ac:dyDescent="0.3">
      <c r="A350">
        <v>2022</v>
      </c>
      <c r="B350" t="s">
        <v>42</v>
      </c>
      <c r="C350">
        <v>2284.5</v>
      </c>
      <c r="D350">
        <v>181.2</v>
      </c>
      <c r="E350">
        <v>528.5</v>
      </c>
      <c r="F350">
        <v>365.5</v>
      </c>
      <c r="G350">
        <v>1244.0999999999999</v>
      </c>
      <c r="H350">
        <f>MATCH(B350,{"January","February","March","April","May","June","July","August","September","October","November","December"},0)</f>
        <v>10</v>
      </c>
      <c r="I350" s="9">
        <f t="shared" si="18"/>
        <v>44835</v>
      </c>
      <c r="J350" t="str">
        <f t="shared" si="19"/>
        <v>Post Covid</v>
      </c>
      <c r="K350">
        <v>177.9</v>
      </c>
      <c r="L350" t="e">
        <f t="shared" si="20"/>
        <v>#N/A</v>
      </c>
    </row>
    <row r="351" spans="1:12" x14ac:dyDescent="0.3">
      <c r="A351">
        <v>2022</v>
      </c>
      <c r="B351" t="s">
        <v>42</v>
      </c>
      <c r="C351">
        <v>2322.3000000000002</v>
      </c>
      <c r="D351">
        <v>174.7</v>
      </c>
      <c r="E351">
        <v>522.4</v>
      </c>
      <c r="F351">
        <v>366.4</v>
      </c>
      <c r="G351">
        <v>1175.5999999999999</v>
      </c>
      <c r="H351">
        <f>MATCH(B351,{"January","February","March","April","May","June","July","August","September","October","November","December"},0)</f>
        <v>10</v>
      </c>
      <c r="I351" s="9">
        <f t="shared" si="18"/>
        <v>44835</v>
      </c>
      <c r="J351" t="str">
        <f t="shared" si="19"/>
        <v>Post Covid</v>
      </c>
      <c r="K351">
        <v>175.3</v>
      </c>
      <c r="L351" t="e">
        <f t="shared" si="20"/>
        <v>#N/A</v>
      </c>
    </row>
    <row r="352" spans="1:12" x14ac:dyDescent="0.3">
      <c r="A352">
        <v>2022</v>
      </c>
      <c r="B352" t="s">
        <v>42</v>
      </c>
      <c r="C352">
        <v>2297.3000000000002</v>
      </c>
      <c r="D352">
        <v>178.7</v>
      </c>
      <c r="E352">
        <v>525.1</v>
      </c>
      <c r="F352">
        <v>364.5</v>
      </c>
      <c r="G352">
        <v>1214.0999999999999</v>
      </c>
      <c r="H352">
        <f>MATCH(B352,{"January","February","March","April","May","June","July","August","September","October","November","December"},0)</f>
        <v>10</v>
      </c>
      <c r="I352" s="9">
        <f t="shared" si="18"/>
        <v>44835</v>
      </c>
      <c r="J352" t="str">
        <f t="shared" si="19"/>
        <v>Post Covid</v>
      </c>
      <c r="K352">
        <v>176.7</v>
      </c>
      <c r="L352" t="e">
        <f t="shared" si="20"/>
        <v>#N/A</v>
      </c>
    </row>
    <row r="353" spans="1:12" x14ac:dyDescent="0.3">
      <c r="A353">
        <v>2022</v>
      </c>
      <c r="B353" t="s">
        <v>44</v>
      </c>
      <c r="C353">
        <v>2287.6999999999998</v>
      </c>
      <c r="D353">
        <v>182.3</v>
      </c>
      <c r="E353">
        <v>530.6</v>
      </c>
      <c r="F353">
        <v>366.3</v>
      </c>
      <c r="G353">
        <v>1250.3</v>
      </c>
      <c r="H353">
        <f>MATCH(B353,{"January","February","March","April","May","June","July","August","September","October","November","December"},0)</f>
        <v>11</v>
      </c>
      <c r="I353" s="9">
        <f t="shared" si="18"/>
        <v>44866</v>
      </c>
      <c r="J353" t="str">
        <f t="shared" si="19"/>
        <v>Post Covid</v>
      </c>
      <c r="K353">
        <v>177.8</v>
      </c>
      <c r="L353" t="e">
        <f t="shared" si="20"/>
        <v>#N/A</v>
      </c>
    </row>
    <row r="354" spans="1:12" x14ac:dyDescent="0.3">
      <c r="A354">
        <v>2022</v>
      </c>
      <c r="B354" t="s">
        <v>44</v>
      </c>
      <c r="C354">
        <v>2314.4</v>
      </c>
      <c r="D354">
        <v>175.8</v>
      </c>
      <c r="E354">
        <v>523.6</v>
      </c>
      <c r="F354">
        <v>367.29999999999995</v>
      </c>
      <c r="G354">
        <v>1181.9000000000001</v>
      </c>
      <c r="H354">
        <f>MATCH(B354,{"January","February","March","April","May","June","July","August","September","October","November","December"},0)</f>
        <v>11</v>
      </c>
      <c r="I354" s="9">
        <f t="shared" si="18"/>
        <v>44866</v>
      </c>
      <c r="J354" t="str">
        <f t="shared" si="19"/>
        <v>Post Covid</v>
      </c>
      <c r="K354">
        <v>174.1</v>
      </c>
      <c r="L354" t="e">
        <f t="shared" si="20"/>
        <v>#N/A</v>
      </c>
    </row>
    <row r="355" spans="1:12" x14ac:dyDescent="0.3">
      <c r="A355">
        <v>2022</v>
      </c>
      <c r="B355" t="s">
        <v>44</v>
      </c>
      <c r="C355">
        <v>2296.8000000000002</v>
      </c>
      <c r="D355">
        <v>179.8</v>
      </c>
      <c r="E355">
        <v>526.79999999999995</v>
      </c>
      <c r="F355">
        <v>365.4</v>
      </c>
      <c r="G355">
        <v>1220.4999999999998</v>
      </c>
      <c r="H355">
        <f>MATCH(B355,{"January","February","March","April","May","June","July","August","September","October","November","December"},0)</f>
        <v>11</v>
      </c>
      <c r="I355" s="9">
        <f t="shared" si="18"/>
        <v>44866</v>
      </c>
      <c r="J355" t="str">
        <f t="shared" si="19"/>
        <v>Post Covid</v>
      </c>
      <c r="K355">
        <v>176.5</v>
      </c>
      <c r="L355" t="e">
        <f t="shared" si="20"/>
        <v>#N/A</v>
      </c>
    </row>
    <row r="356" spans="1:12" x14ac:dyDescent="0.3">
      <c r="A356">
        <v>2022</v>
      </c>
      <c r="B356" t="s">
        <v>45</v>
      </c>
      <c r="C356">
        <v>2277.1</v>
      </c>
      <c r="D356">
        <v>183.5</v>
      </c>
      <c r="E356">
        <v>530.79999999999995</v>
      </c>
      <c r="F356">
        <v>367.1</v>
      </c>
      <c r="G356">
        <v>1257.2</v>
      </c>
      <c r="H356">
        <f>MATCH(B356,{"January","February","March","April","May","June","July","August","September","October","November","December"},0)</f>
        <v>12</v>
      </c>
      <c r="I356" s="9">
        <f t="shared" si="18"/>
        <v>44896</v>
      </c>
      <c r="J356" t="str">
        <f t="shared" si="19"/>
        <v>Post Covid</v>
      </c>
      <c r="K356">
        <v>177.1</v>
      </c>
      <c r="L356" t="e">
        <f t="shared" si="20"/>
        <v>#N/A</v>
      </c>
    </row>
    <row r="357" spans="1:12" x14ac:dyDescent="0.3">
      <c r="A357">
        <v>2022</v>
      </c>
      <c r="B357" t="s">
        <v>45</v>
      </c>
      <c r="C357">
        <v>2295.7999999999997</v>
      </c>
      <c r="D357">
        <v>177.2</v>
      </c>
      <c r="E357">
        <v>523.09999999999991</v>
      </c>
      <c r="F357">
        <v>368.2</v>
      </c>
      <c r="G357">
        <v>1188.8</v>
      </c>
      <c r="H357">
        <f>MATCH(B357,{"January","February","March","April","May","June","July","August","September","October","November","December"},0)</f>
        <v>12</v>
      </c>
      <c r="I357" s="9">
        <f t="shared" si="18"/>
        <v>44896</v>
      </c>
      <c r="J357" t="str">
        <f t="shared" si="19"/>
        <v>Post Covid</v>
      </c>
      <c r="K357">
        <v>174.1</v>
      </c>
      <c r="L357" t="e">
        <f t="shared" si="20"/>
        <v>#N/A</v>
      </c>
    </row>
    <row r="358" spans="1:12" x14ac:dyDescent="0.3">
      <c r="A358">
        <v>2022</v>
      </c>
      <c r="B358" t="s">
        <v>45</v>
      </c>
      <c r="C358">
        <v>2283.4</v>
      </c>
      <c r="D358">
        <v>181.1</v>
      </c>
      <c r="E358">
        <v>526.79999999999995</v>
      </c>
      <c r="F358">
        <v>366.20000000000005</v>
      </c>
      <c r="G358">
        <v>1227.3</v>
      </c>
      <c r="H358">
        <f>MATCH(B358,{"January","February","March","April","May","June","July","August","September","October","November","December"},0)</f>
        <v>12</v>
      </c>
      <c r="I358" s="9">
        <f t="shared" si="18"/>
        <v>44896</v>
      </c>
      <c r="J358" t="str">
        <f t="shared" si="19"/>
        <v>Post Covid</v>
      </c>
      <c r="K358">
        <v>175.7</v>
      </c>
      <c r="L358" t="e">
        <f t="shared" si="20"/>
        <v>#N/A</v>
      </c>
    </row>
    <row r="359" spans="1:12" x14ac:dyDescent="0.3">
      <c r="A359">
        <v>2023</v>
      </c>
      <c r="B359" t="s">
        <v>31</v>
      </c>
      <c r="C359">
        <v>2283.2000000000003</v>
      </c>
      <c r="D359">
        <v>184.7</v>
      </c>
      <c r="E359">
        <v>533.09999999999991</v>
      </c>
      <c r="F359">
        <v>368.70000000000005</v>
      </c>
      <c r="G359">
        <v>1264.2</v>
      </c>
      <c r="H359">
        <f>MATCH(B359,{"January","February","March","April","May","June","July","August","September","October","November","December"},0)</f>
        <v>1</v>
      </c>
      <c r="I359" s="9">
        <f t="shared" si="18"/>
        <v>44927</v>
      </c>
      <c r="J359" t="str">
        <f t="shared" si="19"/>
        <v>Post Covid</v>
      </c>
      <c r="K359">
        <v>177.8</v>
      </c>
      <c r="L359" t="e">
        <f t="shared" si="20"/>
        <v>#N/A</v>
      </c>
    </row>
    <row r="360" spans="1:12" x14ac:dyDescent="0.3">
      <c r="A360">
        <v>2023</v>
      </c>
      <c r="B360" t="s">
        <v>31</v>
      </c>
      <c r="C360">
        <v>2310.2000000000003</v>
      </c>
      <c r="D360">
        <v>178.5</v>
      </c>
      <c r="E360">
        <v>524</v>
      </c>
      <c r="F360">
        <v>369.4</v>
      </c>
      <c r="G360">
        <v>1195.8000000000002</v>
      </c>
      <c r="H360">
        <f>MATCH(B360,{"January","February","March","April","May","June","July","August","September","October","November","December"},0)</f>
        <v>1</v>
      </c>
      <c r="I360" s="9">
        <f t="shared" si="18"/>
        <v>44927</v>
      </c>
      <c r="J360" t="str">
        <f t="shared" si="19"/>
        <v>Post Covid</v>
      </c>
      <c r="K360">
        <v>174.9</v>
      </c>
      <c r="L360" t="e">
        <f t="shared" si="20"/>
        <v>#N/A</v>
      </c>
    </row>
    <row r="361" spans="1:12" x14ac:dyDescent="0.3">
      <c r="A361">
        <v>2023</v>
      </c>
      <c r="B361" t="s">
        <v>31</v>
      </c>
      <c r="C361">
        <v>2292.6999999999998</v>
      </c>
      <c r="D361">
        <v>182.3</v>
      </c>
      <c r="E361">
        <v>528.40000000000009</v>
      </c>
      <c r="F361">
        <v>367.7</v>
      </c>
      <c r="G361">
        <v>1234.1999999999998</v>
      </c>
      <c r="H361">
        <f>MATCH(B361,{"January","February","March","April","May","June","July","August","September","October","November","December"},0)</f>
        <v>1</v>
      </c>
      <c r="I361" s="9">
        <f t="shared" si="18"/>
        <v>44927</v>
      </c>
      <c r="J361" t="str">
        <f t="shared" si="19"/>
        <v>Post Covid</v>
      </c>
      <c r="K361">
        <v>176.5</v>
      </c>
      <c r="L361" t="e">
        <f t="shared" si="20"/>
        <v>#N/A</v>
      </c>
    </row>
    <row r="362" spans="1:12" x14ac:dyDescent="0.3">
      <c r="A362">
        <v>2023</v>
      </c>
      <c r="B362" t="s">
        <v>34</v>
      </c>
      <c r="C362">
        <v>2265.6999999999998</v>
      </c>
      <c r="D362">
        <v>186.6</v>
      </c>
      <c r="E362">
        <v>533.6</v>
      </c>
      <c r="F362">
        <v>371.1</v>
      </c>
      <c r="G362">
        <v>1272.8000000000002</v>
      </c>
      <c r="H362">
        <f>MATCH(B362,{"January","February","March","April","May","June","July","August","September","October","November","December"},0)</f>
        <v>2</v>
      </c>
      <c r="I362" s="9">
        <f t="shared" si="18"/>
        <v>44958</v>
      </c>
      <c r="J362" t="str">
        <f t="shared" si="19"/>
        <v>Post Covid</v>
      </c>
      <c r="K362">
        <v>178</v>
      </c>
      <c r="L362" t="e">
        <f t="shared" si="20"/>
        <v>#N/A</v>
      </c>
    </row>
    <row r="363" spans="1:12" x14ac:dyDescent="0.3">
      <c r="A363">
        <v>2023</v>
      </c>
      <c r="B363" t="s">
        <v>34</v>
      </c>
      <c r="C363">
        <v>2303.1999999999998</v>
      </c>
      <c r="D363">
        <v>180.8</v>
      </c>
      <c r="E363">
        <v>528.79999999999995</v>
      </c>
      <c r="F363">
        <v>371.1</v>
      </c>
      <c r="G363">
        <v>1205.9000000000001</v>
      </c>
      <c r="H363">
        <f>MATCH(B363,{"January","February","March","April","May","June","July","August","September","October","November","December"},0)</f>
        <v>2</v>
      </c>
      <c r="I363" s="9">
        <f t="shared" si="18"/>
        <v>44958</v>
      </c>
      <c r="J363" t="str">
        <f t="shared" si="19"/>
        <v>Post Covid</v>
      </c>
      <c r="K363">
        <v>176.3</v>
      </c>
      <c r="L363" t="e">
        <f t="shared" si="20"/>
        <v>#N/A</v>
      </c>
    </row>
    <row r="364" spans="1:12" x14ac:dyDescent="0.3">
      <c r="A364">
        <v>2023</v>
      </c>
      <c r="B364" t="s">
        <v>34</v>
      </c>
      <c r="C364">
        <v>2279.1</v>
      </c>
      <c r="D364">
        <v>184.4</v>
      </c>
      <c r="E364">
        <v>530.6</v>
      </c>
      <c r="F364">
        <v>369.8</v>
      </c>
      <c r="G364">
        <v>1243.5</v>
      </c>
      <c r="H364">
        <f>MATCH(B364,{"January","February","March","April","May","June","July","August","September","October","November","December"},0)</f>
        <v>2</v>
      </c>
      <c r="I364" s="9">
        <f t="shared" si="18"/>
        <v>44958</v>
      </c>
      <c r="J364" t="str">
        <f t="shared" si="19"/>
        <v>Post Covid</v>
      </c>
      <c r="K364">
        <v>177.2</v>
      </c>
      <c r="L364" t="e">
        <f t="shared" si="20"/>
        <v>#N/A</v>
      </c>
    </row>
    <row r="365" spans="1:12" x14ac:dyDescent="0.3">
      <c r="A365">
        <v>2023</v>
      </c>
      <c r="B365" t="s">
        <v>35</v>
      </c>
      <c r="C365">
        <v>2265.8000000000002</v>
      </c>
      <c r="D365">
        <v>186.6</v>
      </c>
      <c r="E365">
        <v>533.4</v>
      </c>
      <c r="F365">
        <v>371.20000000000005</v>
      </c>
      <c r="G365">
        <v>1272.8000000000002</v>
      </c>
      <c r="H365">
        <f>MATCH(B365,{"January","February","March","April","May","June","July","August","September","October","November","December"},0)</f>
        <v>3</v>
      </c>
      <c r="I365" s="9">
        <f t="shared" si="18"/>
        <v>44986</v>
      </c>
      <c r="J365" t="str">
        <f t="shared" si="19"/>
        <v>Post Covid</v>
      </c>
      <c r="K365">
        <v>178</v>
      </c>
      <c r="L365" t="e">
        <f t="shared" si="20"/>
        <v>#N/A</v>
      </c>
    </row>
    <row r="366" spans="1:12" x14ac:dyDescent="0.3">
      <c r="A366">
        <v>2023</v>
      </c>
      <c r="B366" t="s">
        <v>35</v>
      </c>
      <c r="C366">
        <v>2303.4</v>
      </c>
      <c r="D366">
        <v>180.8</v>
      </c>
      <c r="E366">
        <v>528.6</v>
      </c>
      <c r="F366">
        <v>371.1</v>
      </c>
      <c r="G366">
        <v>1205.8999999999999</v>
      </c>
      <c r="H366">
        <f>MATCH(B366,{"January","February","March","April","May","June","July","August","September","October","November","December"},0)</f>
        <v>3</v>
      </c>
      <c r="I366" s="9">
        <f t="shared" si="18"/>
        <v>44986</v>
      </c>
      <c r="J366" t="str">
        <f t="shared" si="19"/>
        <v>Post Covid</v>
      </c>
      <c r="K366">
        <v>176.3</v>
      </c>
      <c r="L366" t="e">
        <f t="shared" si="20"/>
        <v>#N/A</v>
      </c>
    </row>
    <row r="367" spans="1:12" x14ac:dyDescent="0.3">
      <c r="A367">
        <v>2023</v>
      </c>
      <c r="B367" t="s">
        <v>35</v>
      </c>
      <c r="C367">
        <v>2279.1999999999998</v>
      </c>
      <c r="D367">
        <v>184.4</v>
      </c>
      <c r="E367">
        <v>530.4</v>
      </c>
      <c r="F367">
        <v>369.8</v>
      </c>
      <c r="G367">
        <v>1243.3999999999999</v>
      </c>
      <c r="H367">
        <f>MATCH(B367,{"January","February","March","April","May","June","July","August","September","October","November","December"},0)</f>
        <v>3</v>
      </c>
      <c r="I367" s="9">
        <f t="shared" si="18"/>
        <v>44986</v>
      </c>
      <c r="J367" t="str">
        <f t="shared" si="19"/>
        <v>Post Covid</v>
      </c>
      <c r="K367">
        <v>177.2</v>
      </c>
      <c r="L367" t="e">
        <f t="shared" si="20"/>
        <v>#N/A</v>
      </c>
    </row>
    <row r="368" spans="1:12" x14ac:dyDescent="0.3">
      <c r="A368">
        <v>2023</v>
      </c>
      <c r="B368" t="s">
        <v>36</v>
      </c>
      <c r="C368">
        <v>2274.1999999999998</v>
      </c>
      <c r="D368">
        <v>187.2</v>
      </c>
      <c r="E368">
        <v>536.1</v>
      </c>
      <c r="F368">
        <v>372.7</v>
      </c>
      <c r="G368">
        <v>1279.4000000000001</v>
      </c>
      <c r="H368">
        <f>MATCH(B368,{"January","February","March","April","May","June","July","August","September","October","November","December"},0)</f>
        <v>4</v>
      </c>
      <c r="I368" s="9">
        <f t="shared" si="18"/>
        <v>45017</v>
      </c>
      <c r="J368" t="str">
        <f t="shared" si="19"/>
        <v>Post Covid</v>
      </c>
      <c r="K368">
        <v>178.8</v>
      </c>
      <c r="L368" t="e">
        <f t="shared" si="20"/>
        <v>#N/A</v>
      </c>
    </row>
    <row r="369" spans="1:12" x14ac:dyDescent="0.3">
      <c r="A369">
        <v>2023</v>
      </c>
      <c r="B369" t="s">
        <v>36</v>
      </c>
      <c r="C369">
        <v>2317.7000000000003</v>
      </c>
      <c r="D369">
        <v>181.5</v>
      </c>
      <c r="E369">
        <v>531.5</v>
      </c>
      <c r="F369">
        <v>372.3</v>
      </c>
      <c r="G369">
        <v>1212.6000000000001</v>
      </c>
      <c r="H369">
        <f>MATCH(B369,{"January","February","March","April","May","June","July","August","September","October","November","December"},0)</f>
        <v>4</v>
      </c>
      <c r="I369" s="9">
        <f t="shared" si="18"/>
        <v>45017</v>
      </c>
      <c r="J369" t="str">
        <f t="shared" si="19"/>
        <v>Post Covid</v>
      </c>
      <c r="K369">
        <v>177.4</v>
      </c>
      <c r="L369" t="e">
        <f t="shared" si="20"/>
        <v>#N/A</v>
      </c>
    </row>
    <row r="370" spans="1:12" x14ac:dyDescent="0.3">
      <c r="A370">
        <v>2023</v>
      </c>
      <c r="B370" t="s">
        <v>36</v>
      </c>
      <c r="C370">
        <v>2289.6000000000004</v>
      </c>
      <c r="D370">
        <v>185</v>
      </c>
      <c r="E370">
        <v>533.29999999999995</v>
      </c>
      <c r="F370">
        <v>371.29999999999995</v>
      </c>
      <c r="G370">
        <v>1249.9000000000001</v>
      </c>
      <c r="H370">
        <f>MATCH(B370,{"January","February","March","April","May","June","July","August","September","October","November","December"},0)</f>
        <v>4</v>
      </c>
      <c r="I370" s="9">
        <f t="shared" si="18"/>
        <v>45017</v>
      </c>
      <c r="J370" t="str">
        <f t="shared" si="19"/>
        <v>Post Covid</v>
      </c>
      <c r="K370">
        <v>178.1</v>
      </c>
      <c r="L370" t="e">
        <f t="shared" si="20"/>
        <v>#N/A</v>
      </c>
    </row>
    <row r="371" spans="1:12" x14ac:dyDescent="0.3">
      <c r="A371">
        <v>2023</v>
      </c>
      <c r="B371" t="s">
        <v>37</v>
      </c>
      <c r="C371">
        <v>2290.7000000000007</v>
      </c>
      <c r="D371">
        <v>187.8</v>
      </c>
      <c r="E371">
        <v>538.40000000000009</v>
      </c>
      <c r="F371">
        <v>373.70000000000005</v>
      </c>
      <c r="G371">
        <v>1283.8000000000002</v>
      </c>
      <c r="H371">
        <f>MATCH(B371,{"January","February","March","April","May","June","July","August","September","October","November","December"},0)</f>
        <v>5</v>
      </c>
      <c r="I371" s="9">
        <f t="shared" si="18"/>
        <v>45047</v>
      </c>
      <c r="J371" t="str">
        <f t="shared" si="19"/>
        <v>Post Covid</v>
      </c>
      <c r="K371">
        <v>179.8</v>
      </c>
      <c r="L371" t="e">
        <f t="shared" si="20"/>
        <v>#N/A</v>
      </c>
    </row>
    <row r="372" spans="1:12" x14ac:dyDescent="0.3">
      <c r="A372">
        <v>2023</v>
      </c>
      <c r="B372" t="s">
        <v>37</v>
      </c>
      <c r="C372">
        <v>2335.1</v>
      </c>
      <c r="D372">
        <v>182.2</v>
      </c>
      <c r="E372">
        <v>533.79999999999995</v>
      </c>
      <c r="F372">
        <v>373.4</v>
      </c>
      <c r="G372">
        <v>1216.3999999999999</v>
      </c>
      <c r="H372">
        <f>MATCH(B372,{"January","February","March","April","May","June","July","August","September","October","November","December"},0)</f>
        <v>5</v>
      </c>
      <c r="I372" s="9">
        <f t="shared" si="18"/>
        <v>45047</v>
      </c>
      <c r="J372" t="str">
        <f t="shared" si="19"/>
        <v>Post Covid</v>
      </c>
      <c r="K372">
        <v>178.2</v>
      </c>
      <c r="L372" t="e">
        <f t="shared" si="20"/>
        <v>#N/A</v>
      </c>
    </row>
    <row r="373" spans="1:12" x14ac:dyDescent="0.3">
      <c r="A373">
        <v>2023</v>
      </c>
      <c r="B373" t="s">
        <v>37</v>
      </c>
      <c r="C373">
        <v>2306.9</v>
      </c>
      <c r="D373">
        <v>185.7</v>
      </c>
      <c r="E373">
        <v>535.5</v>
      </c>
      <c r="F373">
        <v>372.2</v>
      </c>
      <c r="G373">
        <v>1254.1000000000001</v>
      </c>
      <c r="H373">
        <f>MATCH(B373,{"January","February","March","April","May","June","July","August","September","October","November","December"},0)</f>
        <v>5</v>
      </c>
      <c r="I373" s="9">
        <f t="shared" si="18"/>
        <v>45047</v>
      </c>
      <c r="J373" t="str">
        <f t="shared" si="19"/>
        <v>Post Covid</v>
      </c>
      <c r="K373">
        <v>179.1</v>
      </c>
      <c r="L373" t="e">
        <f t="shared" si="20"/>
        <v>#N/A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1FF7-95DE-4122-86C3-5407E46752AF}">
  <dimension ref="A1:AM109"/>
  <sheetViews>
    <sheetView showGridLines="0" tabSelected="1" topLeftCell="A9" workbookViewId="0">
      <selection activeCell="B33" sqref="B33:C33"/>
    </sheetView>
  </sheetViews>
  <sheetFormatPr defaultRowHeight="14.4" x14ac:dyDescent="0.3"/>
  <cols>
    <col min="1" max="1" width="14" bestFit="1" customWidth="1"/>
    <col min="2" max="2" width="16.33203125" customWidth="1"/>
    <col min="3" max="3" width="12.6640625" bestFit="1" customWidth="1"/>
    <col min="4" max="4" width="20.44140625" customWidth="1"/>
    <col min="5" max="5" width="14.44140625" customWidth="1"/>
    <col min="7" max="7" width="18.109375" customWidth="1"/>
    <col min="8" max="8" width="13.109375" customWidth="1"/>
    <col min="10" max="10" width="12.109375" customWidth="1"/>
    <col min="11" max="11" width="19.6640625" customWidth="1"/>
    <col min="12" max="12" width="23.6640625" customWidth="1"/>
    <col min="14" max="14" width="23.5546875" customWidth="1"/>
    <col min="15" max="15" width="32.6640625" customWidth="1"/>
    <col min="16" max="16" width="19.77734375" customWidth="1"/>
    <col min="17" max="17" width="27.109375" customWidth="1"/>
    <col min="18" max="18" width="9.88671875" customWidth="1"/>
    <col min="19" max="19" width="10.77734375" customWidth="1"/>
    <col min="20" max="20" width="21.6640625" customWidth="1"/>
    <col min="21" max="21" width="9.6640625" customWidth="1"/>
    <col min="22" max="22" width="14.44140625" customWidth="1"/>
    <col min="23" max="23" width="14.109375" customWidth="1"/>
    <col min="24" max="24" width="28.109375" customWidth="1"/>
    <col min="26" max="26" width="28.33203125" customWidth="1"/>
    <col min="27" max="27" width="26" customWidth="1"/>
    <col min="28" max="28" width="11.33203125" customWidth="1"/>
    <col min="29" max="29" width="23.88671875" customWidth="1"/>
    <col min="30" max="30" width="14.77734375" customWidth="1"/>
    <col min="31" max="31" width="14.33203125" customWidth="1"/>
    <col min="32" max="32" width="21.21875" customWidth="1"/>
    <col min="33" max="33" width="18.21875" customWidth="1"/>
    <col min="35" max="35" width="10.109375" customWidth="1"/>
    <col min="36" max="36" width="10.21875" customWidth="1"/>
    <col min="37" max="37" width="10.5546875" customWidth="1"/>
    <col min="38" max="38" width="12.5546875" bestFit="1" customWidth="1"/>
    <col min="39" max="39" width="28.5546875" bestFit="1" customWidth="1"/>
    <col min="40" max="40" width="22.44140625" bestFit="1" customWidth="1"/>
    <col min="41" max="41" width="13.6640625" bestFit="1" customWidth="1"/>
    <col min="42" max="42" width="26.21875" bestFit="1" customWidth="1"/>
    <col min="43" max="43" width="21" bestFit="1" customWidth="1"/>
    <col min="44" max="44" width="15.21875" bestFit="1" customWidth="1"/>
    <col min="45" max="45" width="20" bestFit="1" customWidth="1"/>
    <col min="46" max="46" width="27.77734375" bestFit="1" customWidth="1"/>
    <col min="47" max="47" width="31.88671875" bestFit="1" customWidth="1"/>
    <col min="48" max="48" width="15.88671875" bestFit="1" customWidth="1"/>
    <col min="49" max="49" width="31.77734375" bestFit="1" customWidth="1"/>
    <col min="50" max="50" width="41.109375" bestFit="1" customWidth="1"/>
    <col min="51" max="51" width="27.88671875" bestFit="1" customWidth="1"/>
    <col min="52" max="52" width="35.44140625" bestFit="1" customWidth="1"/>
    <col min="53" max="53" width="17.77734375" bestFit="1" customWidth="1"/>
    <col min="54" max="54" width="18.6640625" bestFit="1" customWidth="1"/>
    <col min="55" max="55" width="29.88671875" bestFit="1" customWidth="1"/>
    <col min="56" max="56" width="22.44140625" bestFit="1" customWidth="1"/>
    <col min="57" max="57" width="22.109375" bestFit="1" customWidth="1"/>
    <col min="58" max="58" width="36.44140625" bestFit="1" customWidth="1"/>
    <col min="59" max="59" width="16.109375" bestFit="1" customWidth="1"/>
    <col min="60" max="60" width="36.6640625" bestFit="1" customWidth="1"/>
    <col min="61" max="61" width="34.33203125" bestFit="1" customWidth="1"/>
    <col min="62" max="62" width="19.21875" bestFit="1" customWidth="1"/>
    <col min="63" max="63" width="32.109375" bestFit="1" customWidth="1"/>
    <col min="64" max="64" width="22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46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47</v>
      </c>
      <c r="AG1" t="s">
        <v>48</v>
      </c>
      <c r="AH1" t="s">
        <v>51</v>
      </c>
      <c r="AI1" t="s">
        <v>72</v>
      </c>
      <c r="AJ1" t="s">
        <v>73</v>
      </c>
      <c r="AK1" t="s">
        <v>89</v>
      </c>
      <c r="AM1" s="3"/>
    </row>
    <row r="2" spans="1:39" x14ac:dyDescent="0.3">
      <c r="A2" t="s">
        <v>33</v>
      </c>
      <c r="B2">
        <v>2021</v>
      </c>
      <c r="C2" t="s">
        <v>31</v>
      </c>
      <c r="D2">
        <v>144.9</v>
      </c>
      <c r="E2">
        <v>190.1</v>
      </c>
      <c r="F2">
        <v>175.3</v>
      </c>
      <c r="G2">
        <v>154.1</v>
      </c>
      <c r="H2">
        <v>150.9</v>
      </c>
      <c r="I2">
        <v>149.6</v>
      </c>
      <c r="J2">
        <v>194.2</v>
      </c>
      <c r="K2">
        <v>160.4</v>
      </c>
      <c r="L2">
        <v>114.6</v>
      </c>
      <c r="M2">
        <v>164</v>
      </c>
      <c r="N2">
        <v>151.80000000000001</v>
      </c>
      <c r="O2">
        <v>165.6</v>
      </c>
      <c r="P2">
        <v>161</v>
      </c>
      <c r="Q2">
        <v>186.5</v>
      </c>
      <c r="R2">
        <v>155.5</v>
      </c>
      <c r="S2">
        <v>146.1</v>
      </c>
      <c r="T2">
        <v>154.19999999999999</v>
      </c>
      <c r="U2">
        <v>157.69999999999999</v>
      </c>
      <c r="V2" s="1">
        <v>157.69999999999999</v>
      </c>
      <c r="W2">
        <v>147.9</v>
      </c>
      <c r="X2">
        <v>150</v>
      </c>
      <c r="Y2">
        <v>159.30000000000001</v>
      </c>
      <c r="Z2">
        <v>141.9</v>
      </c>
      <c r="AA2">
        <v>149.6</v>
      </c>
      <c r="AB2">
        <v>159.19999999999999</v>
      </c>
      <c r="AC2">
        <v>156.80000000000001</v>
      </c>
      <c r="AD2">
        <v>151.9</v>
      </c>
      <c r="AE2">
        <v>157.30000000000001</v>
      </c>
      <c r="AF2">
        <v>2076.5</v>
      </c>
      <c r="AG2">
        <v>455.8</v>
      </c>
      <c r="AH2">
        <v>336.1</v>
      </c>
      <c r="AI2">
        <v>464.8</v>
      </c>
      <c r="AJ2">
        <v>1056.4000000000001</v>
      </c>
      <c r="AK2">
        <v>66695.48</v>
      </c>
      <c r="AL2" s="38"/>
    </row>
    <row r="3" spans="1:39" x14ac:dyDescent="0.3">
      <c r="A3" t="s">
        <v>33</v>
      </c>
      <c r="B3">
        <v>2021</v>
      </c>
      <c r="C3" t="s">
        <v>34</v>
      </c>
      <c r="D3">
        <v>144.30000000000001</v>
      </c>
      <c r="E3">
        <v>186.5</v>
      </c>
      <c r="F3">
        <v>168.7</v>
      </c>
      <c r="G3">
        <v>154.69999999999999</v>
      </c>
      <c r="H3">
        <v>158.69999999999999</v>
      </c>
      <c r="I3">
        <v>150.69999999999999</v>
      </c>
      <c r="J3">
        <v>160</v>
      </c>
      <c r="K3">
        <v>158.80000000000001</v>
      </c>
      <c r="L3">
        <v>112.8</v>
      </c>
      <c r="M3">
        <v>164.2</v>
      </c>
      <c r="N3">
        <v>155.5</v>
      </c>
      <c r="O3">
        <v>167.5</v>
      </c>
      <c r="P3">
        <v>156.9</v>
      </c>
      <c r="Q3">
        <v>188.3</v>
      </c>
      <c r="R3">
        <v>157.19999999999999</v>
      </c>
      <c r="S3">
        <v>147.4</v>
      </c>
      <c r="T3">
        <v>155.80000000000001</v>
      </c>
      <c r="U3">
        <v>159.80000000000001</v>
      </c>
      <c r="V3" s="1">
        <v>159.80000000000001</v>
      </c>
      <c r="W3">
        <v>152.4</v>
      </c>
      <c r="X3">
        <v>150.9</v>
      </c>
      <c r="Y3">
        <v>161.30000000000001</v>
      </c>
      <c r="Z3">
        <v>145.1</v>
      </c>
      <c r="AA3">
        <v>151.5</v>
      </c>
      <c r="AB3">
        <v>159.5</v>
      </c>
      <c r="AC3">
        <v>155.80000000000001</v>
      </c>
      <c r="AD3">
        <v>153.4</v>
      </c>
      <c r="AE3">
        <v>156.6</v>
      </c>
      <c r="AF3">
        <v>2039.3000000000002</v>
      </c>
      <c r="AG3">
        <v>460.40000000000003</v>
      </c>
      <c r="AH3">
        <v>339.8</v>
      </c>
      <c r="AI3">
        <v>471.70000000000005</v>
      </c>
      <c r="AJ3">
        <v>1065.6000000000001</v>
      </c>
      <c r="AK3">
        <v>60965.59</v>
      </c>
      <c r="AL3" s="38"/>
    </row>
    <row r="4" spans="1:39" x14ac:dyDescent="0.3">
      <c r="A4" t="s">
        <v>33</v>
      </c>
      <c r="B4">
        <v>2021</v>
      </c>
      <c r="C4" t="s">
        <v>35</v>
      </c>
      <c r="D4">
        <v>144.1</v>
      </c>
      <c r="E4">
        <v>192.2</v>
      </c>
      <c r="F4">
        <v>163.80000000000001</v>
      </c>
      <c r="G4">
        <v>154.9</v>
      </c>
      <c r="H4">
        <v>163.9</v>
      </c>
      <c r="I4">
        <v>153.69999999999999</v>
      </c>
      <c r="J4">
        <v>149.5</v>
      </c>
      <c r="K4">
        <v>159.80000000000001</v>
      </c>
      <c r="L4">
        <v>112.6</v>
      </c>
      <c r="M4">
        <v>163.5</v>
      </c>
      <c r="N4">
        <v>156.5</v>
      </c>
      <c r="O4">
        <v>168.2</v>
      </c>
      <c r="P4">
        <v>156.69999999999999</v>
      </c>
      <c r="Q4">
        <v>188.1</v>
      </c>
      <c r="R4">
        <v>157.80000000000001</v>
      </c>
      <c r="S4">
        <v>147.9</v>
      </c>
      <c r="T4">
        <v>156.4</v>
      </c>
      <c r="U4">
        <v>159.9</v>
      </c>
      <c r="V4" s="1">
        <v>159.9</v>
      </c>
      <c r="W4">
        <v>155.5</v>
      </c>
      <c r="X4">
        <v>151.19999999999999</v>
      </c>
      <c r="Y4">
        <v>161.69999999999999</v>
      </c>
      <c r="Z4">
        <v>146.19999999999999</v>
      </c>
      <c r="AA4">
        <v>152.6</v>
      </c>
      <c r="AB4">
        <v>160.19999999999999</v>
      </c>
      <c r="AC4">
        <v>153.80000000000001</v>
      </c>
      <c r="AD4">
        <v>153.80000000000001</v>
      </c>
      <c r="AE4">
        <v>156.80000000000001</v>
      </c>
      <c r="AF4">
        <v>2039.3999999999999</v>
      </c>
      <c r="AG4">
        <v>462.1</v>
      </c>
      <c r="AH4">
        <v>340.7</v>
      </c>
      <c r="AI4">
        <v>475.59999999999997</v>
      </c>
      <c r="AJ4">
        <v>1067.0999999999999</v>
      </c>
      <c r="AK4">
        <v>75470.77</v>
      </c>
      <c r="AL4" s="38"/>
    </row>
    <row r="5" spans="1:39" x14ac:dyDescent="0.3">
      <c r="A5" t="s">
        <v>33</v>
      </c>
      <c r="B5">
        <v>2021</v>
      </c>
      <c r="C5" t="s">
        <v>36</v>
      </c>
      <c r="D5">
        <v>144.30000000000001</v>
      </c>
      <c r="E5">
        <v>198</v>
      </c>
      <c r="F5">
        <v>164.6</v>
      </c>
      <c r="G5">
        <v>155.4</v>
      </c>
      <c r="H5">
        <v>170.1</v>
      </c>
      <c r="I5">
        <v>164.4</v>
      </c>
      <c r="J5">
        <v>144.1</v>
      </c>
      <c r="K5">
        <v>161.69999999999999</v>
      </c>
      <c r="L5">
        <v>113.1</v>
      </c>
      <c r="M5">
        <v>163.9</v>
      </c>
      <c r="N5">
        <v>157.6</v>
      </c>
      <c r="O5">
        <v>168.9</v>
      </c>
      <c r="P5">
        <v>158</v>
      </c>
      <c r="Q5">
        <v>188.8</v>
      </c>
      <c r="R5">
        <v>158.80000000000001</v>
      </c>
      <c r="S5">
        <v>148.5</v>
      </c>
      <c r="T5">
        <v>157.30000000000001</v>
      </c>
      <c r="U5">
        <v>161.4</v>
      </c>
      <c r="V5" s="1">
        <v>161.4</v>
      </c>
      <c r="W5">
        <v>155.6</v>
      </c>
      <c r="X5">
        <v>151.80000000000001</v>
      </c>
      <c r="Y5">
        <v>162.30000000000001</v>
      </c>
      <c r="Z5">
        <v>146.6</v>
      </c>
      <c r="AA5">
        <v>153.19999999999999</v>
      </c>
      <c r="AB5">
        <v>160.30000000000001</v>
      </c>
      <c r="AC5">
        <v>155.4</v>
      </c>
      <c r="AD5">
        <v>154.4</v>
      </c>
      <c r="AE5">
        <v>157.80000000000001</v>
      </c>
      <c r="AF5">
        <v>2064.1</v>
      </c>
      <c r="AG5">
        <v>464.6</v>
      </c>
      <c r="AH5">
        <v>342</v>
      </c>
      <c r="AI5">
        <v>477.3</v>
      </c>
      <c r="AJ5">
        <v>1072.8000000000002</v>
      </c>
      <c r="AK5" s="10">
        <v>74207.645156289771</v>
      </c>
    </row>
    <row r="6" spans="1:39" x14ac:dyDescent="0.3">
      <c r="A6" t="s">
        <v>33</v>
      </c>
      <c r="B6">
        <v>2021</v>
      </c>
      <c r="C6" t="s">
        <v>37</v>
      </c>
      <c r="D6">
        <v>146.30000000000001</v>
      </c>
      <c r="E6">
        <v>200.5</v>
      </c>
      <c r="F6">
        <v>170.3</v>
      </c>
      <c r="G6">
        <v>156.1</v>
      </c>
      <c r="H6">
        <v>178.7</v>
      </c>
      <c r="I6">
        <v>167.1</v>
      </c>
      <c r="J6">
        <v>147.9</v>
      </c>
      <c r="K6">
        <v>165.4</v>
      </c>
      <c r="L6">
        <v>114.8</v>
      </c>
      <c r="M6">
        <v>168.2</v>
      </c>
      <c r="N6">
        <v>159.30000000000001</v>
      </c>
      <c r="O6">
        <v>170.4</v>
      </c>
      <c r="P6">
        <v>160.69999999999999</v>
      </c>
      <c r="Q6">
        <v>191.9</v>
      </c>
      <c r="R6">
        <v>161.80000000000001</v>
      </c>
      <c r="S6">
        <v>152.1</v>
      </c>
      <c r="T6">
        <v>160.4</v>
      </c>
      <c r="U6">
        <v>161.6</v>
      </c>
      <c r="V6" s="1">
        <v>161.6</v>
      </c>
      <c r="W6">
        <v>159.4</v>
      </c>
      <c r="X6">
        <v>154.69999999999999</v>
      </c>
      <c r="Y6">
        <v>165.8</v>
      </c>
      <c r="Z6">
        <v>148.9</v>
      </c>
      <c r="AA6">
        <v>155.80000000000001</v>
      </c>
      <c r="AB6">
        <v>161.19999999999999</v>
      </c>
      <c r="AC6">
        <v>158.6</v>
      </c>
      <c r="AD6">
        <v>156.80000000000001</v>
      </c>
      <c r="AE6">
        <v>160.4</v>
      </c>
      <c r="AF6">
        <v>2105.7000000000003</v>
      </c>
      <c r="AG6">
        <v>474.29999999999995</v>
      </c>
      <c r="AH6">
        <v>347.70000000000005</v>
      </c>
      <c r="AI6">
        <v>482.2</v>
      </c>
      <c r="AJ6">
        <v>1093.3</v>
      </c>
      <c r="AK6" s="10">
        <v>70046.397374263441</v>
      </c>
    </row>
    <row r="7" spans="1:39" x14ac:dyDescent="0.3">
      <c r="A7" t="s">
        <v>33</v>
      </c>
      <c r="B7">
        <v>2021</v>
      </c>
      <c r="C7" t="s">
        <v>38</v>
      </c>
      <c r="D7">
        <v>146.69999999999999</v>
      </c>
      <c r="E7">
        <v>202</v>
      </c>
      <c r="F7">
        <v>180.7</v>
      </c>
      <c r="G7">
        <v>156.19999999999999</v>
      </c>
      <c r="H7">
        <v>183.7</v>
      </c>
      <c r="I7">
        <v>164.6</v>
      </c>
      <c r="J7">
        <v>155.4</v>
      </c>
      <c r="K7">
        <v>166</v>
      </c>
      <c r="L7">
        <v>115.1</v>
      </c>
      <c r="M7">
        <v>168.5</v>
      </c>
      <c r="N7">
        <v>160</v>
      </c>
      <c r="O7">
        <v>172.4</v>
      </c>
      <c r="P7">
        <v>162.6</v>
      </c>
      <c r="Q7">
        <v>190.8</v>
      </c>
      <c r="R7">
        <v>162.19999999999999</v>
      </c>
      <c r="S7">
        <v>151.80000000000001</v>
      </c>
      <c r="T7">
        <v>160.69999999999999</v>
      </c>
      <c r="U7">
        <v>160.5</v>
      </c>
      <c r="V7" s="1">
        <v>160.5</v>
      </c>
      <c r="W7">
        <v>159.80000000000001</v>
      </c>
      <c r="X7">
        <v>154.80000000000001</v>
      </c>
      <c r="Y7">
        <v>166.3</v>
      </c>
      <c r="Z7">
        <v>150.69999999999999</v>
      </c>
      <c r="AA7">
        <v>154.9</v>
      </c>
      <c r="AB7">
        <v>161.69999999999999</v>
      </c>
      <c r="AC7">
        <v>158.80000000000001</v>
      </c>
      <c r="AD7">
        <v>157.6</v>
      </c>
      <c r="AE7">
        <v>161.30000000000001</v>
      </c>
      <c r="AF7">
        <v>2133.9</v>
      </c>
      <c r="AG7">
        <v>474.7</v>
      </c>
      <c r="AH7">
        <v>345.70000000000005</v>
      </c>
      <c r="AI7">
        <v>482</v>
      </c>
      <c r="AJ7">
        <v>1096.5999999999999</v>
      </c>
      <c r="AK7" s="10">
        <v>71679.348913787879</v>
      </c>
    </row>
    <row r="8" spans="1:39" x14ac:dyDescent="0.3">
      <c r="A8" t="s">
        <v>33</v>
      </c>
      <c r="B8">
        <v>2021</v>
      </c>
      <c r="C8" t="s">
        <v>39</v>
      </c>
      <c r="D8">
        <v>146.4</v>
      </c>
      <c r="E8">
        <v>206.8</v>
      </c>
      <c r="F8">
        <v>182.2</v>
      </c>
      <c r="G8">
        <v>157.5</v>
      </c>
      <c r="H8">
        <v>182.1</v>
      </c>
      <c r="I8">
        <v>163.9</v>
      </c>
      <c r="J8">
        <v>164.2</v>
      </c>
      <c r="K8">
        <v>164</v>
      </c>
      <c r="L8">
        <v>114.5</v>
      </c>
      <c r="M8">
        <v>168.3</v>
      </c>
      <c r="N8">
        <v>160.9</v>
      </c>
      <c r="O8">
        <v>172.2</v>
      </c>
      <c r="P8">
        <v>164</v>
      </c>
      <c r="Q8">
        <v>191.2</v>
      </c>
      <c r="R8">
        <v>162.80000000000001</v>
      </c>
      <c r="S8">
        <v>153.1</v>
      </c>
      <c r="T8">
        <v>161.4</v>
      </c>
      <c r="U8">
        <v>161.5</v>
      </c>
      <c r="V8" s="1">
        <v>161.5</v>
      </c>
      <c r="W8">
        <v>160.69999999999999</v>
      </c>
      <c r="X8">
        <v>155.80000000000001</v>
      </c>
      <c r="Y8">
        <v>167</v>
      </c>
      <c r="Z8">
        <v>153.1</v>
      </c>
      <c r="AA8">
        <v>155.30000000000001</v>
      </c>
      <c r="AB8">
        <v>163.19999999999999</v>
      </c>
      <c r="AC8">
        <v>160.1</v>
      </c>
      <c r="AD8">
        <v>159</v>
      </c>
      <c r="AE8">
        <v>162.5</v>
      </c>
      <c r="AF8">
        <v>2147</v>
      </c>
      <c r="AG8">
        <v>477.29999999999995</v>
      </c>
      <c r="AH8">
        <v>346.5</v>
      </c>
      <c r="AI8">
        <v>485.4</v>
      </c>
      <c r="AJ8">
        <v>1105.3</v>
      </c>
      <c r="AK8" s="10">
        <v>72860.439470110607</v>
      </c>
    </row>
    <row r="9" spans="1:39" x14ac:dyDescent="0.3">
      <c r="A9" t="s">
        <v>33</v>
      </c>
      <c r="B9">
        <v>2021</v>
      </c>
      <c r="C9" t="s">
        <v>40</v>
      </c>
      <c r="D9">
        <v>146.6</v>
      </c>
      <c r="E9">
        <v>204</v>
      </c>
      <c r="F9">
        <v>172.8</v>
      </c>
      <c r="G9">
        <v>158.4</v>
      </c>
      <c r="H9">
        <v>188</v>
      </c>
      <c r="I9">
        <v>156.80000000000001</v>
      </c>
      <c r="J9">
        <v>162.19999999999999</v>
      </c>
      <c r="K9">
        <v>164.1</v>
      </c>
      <c r="L9">
        <v>119.7</v>
      </c>
      <c r="M9">
        <v>168.8</v>
      </c>
      <c r="N9">
        <v>162.69999999999999</v>
      </c>
      <c r="O9">
        <v>173.9</v>
      </c>
      <c r="P9">
        <v>164</v>
      </c>
      <c r="Q9">
        <v>192.1</v>
      </c>
      <c r="R9">
        <v>164.5</v>
      </c>
      <c r="S9">
        <v>155.30000000000001</v>
      </c>
      <c r="T9">
        <v>163.19999999999999</v>
      </c>
      <c r="U9">
        <v>162.1</v>
      </c>
      <c r="V9" s="1">
        <v>162.1</v>
      </c>
      <c r="W9">
        <v>162.6</v>
      </c>
      <c r="X9">
        <v>157.5</v>
      </c>
      <c r="Y9">
        <v>168.4</v>
      </c>
      <c r="Z9">
        <v>154</v>
      </c>
      <c r="AA9">
        <v>157.6</v>
      </c>
      <c r="AB9">
        <v>163.80000000000001</v>
      </c>
      <c r="AC9">
        <v>160</v>
      </c>
      <c r="AD9">
        <v>160</v>
      </c>
      <c r="AE9">
        <v>163.19999999999999</v>
      </c>
      <c r="AF9">
        <v>2142</v>
      </c>
      <c r="AG9">
        <v>483</v>
      </c>
      <c r="AH9">
        <v>349.7</v>
      </c>
      <c r="AI9">
        <v>488.5</v>
      </c>
      <c r="AJ9">
        <v>1114.5</v>
      </c>
      <c r="AK9" s="10">
        <v>80983.015512993996</v>
      </c>
    </row>
    <row r="10" spans="1:39" x14ac:dyDescent="0.3">
      <c r="A10" t="s">
        <v>33</v>
      </c>
      <c r="B10">
        <v>2021</v>
      </c>
      <c r="C10" t="s">
        <v>41</v>
      </c>
      <c r="D10">
        <v>146.6</v>
      </c>
      <c r="E10">
        <v>204</v>
      </c>
      <c r="F10">
        <v>172.8</v>
      </c>
      <c r="G10">
        <v>158.4</v>
      </c>
      <c r="H10">
        <v>188</v>
      </c>
      <c r="I10">
        <v>156.69999999999999</v>
      </c>
      <c r="J10">
        <v>162.30000000000001</v>
      </c>
      <c r="K10">
        <v>164.1</v>
      </c>
      <c r="L10">
        <v>119.7</v>
      </c>
      <c r="M10">
        <v>168.8</v>
      </c>
      <c r="N10">
        <v>162.69999999999999</v>
      </c>
      <c r="O10">
        <v>173.9</v>
      </c>
      <c r="P10">
        <v>164</v>
      </c>
      <c r="Q10">
        <v>192.1</v>
      </c>
      <c r="R10">
        <v>164.6</v>
      </c>
      <c r="S10">
        <v>155.30000000000001</v>
      </c>
      <c r="T10">
        <v>163.30000000000001</v>
      </c>
      <c r="U10">
        <v>162.1</v>
      </c>
      <c r="V10" s="1">
        <v>162.1</v>
      </c>
      <c r="W10">
        <v>162.6</v>
      </c>
      <c r="X10">
        <v>157.5</v>
      </c>
      <c r="Y10">
        <v>168.4</v>
      </c>
      <c r="Z10">
        <v>154</v>
      </c>
      <c r="AA10">
        <v>157.69999999999999</v>
      </c>
      <c r="AB10">
        <v>163.69999999999999</v>
      </c>
      <c r="AC10">
        <v>160</v>
      </c>
      <c r="AD10">
        <v>160</v>
      </c>
      <c r="AE10">
        <v>163.19999999999999</v>
      </c>
      <c r="AF10">
        <v>2142</v>
      </c>
      <c r="AG10">
        <v>483.2</v>
      </c>
      <c r="AH10">
        <v>349.79999999999995</v>
      </c>
      <c r="AI10">
        <v>488.4</v>
      </c>
      <c r="AJ10">
        <v>1114.7</v>
      </c>
      <c r="AK10" s="10">
        <v>83035.173906576631</v>
      </c>
    </row>
    <row r="11" spans="1:39" x14ac:dyDescent="0.3">
      <c r="A11" t="s">
        <v>33</v>
      </c>
      <c r="B11">
        <v>2021</v>
      </c>
      <c r="C11" t="s">
        <v>42</v>
      </c>
      <c r="D11">
        <v>147.4</v>
      </c>
      <c r="E11">
        <v>204.6</v>
      </c>
      <c r="F11">
        <v>171.2</v>
      </c>
      <c r="G11">
        <v>158.69999999999999</v>
      </c>
      <c r="H11">
        <v>190.6</v>
      </c>
      <c r="I11">
        <v>155.69999999999999</v>
      </c>
      <c r="J11">
        <v>185.3</v>
      </c>
      <c r="K11">
        <v>165.2</v>
      </c>
      <c r="L11">
        <v>121.9</v>
      </c>
      <c r="M11">
        <v>169.3</v>
      </c>
      <c r="N11">
        <v>163.19999999999999</v>
      </c>
      <c r="O11">
        <v>174.7</v>
      </c>
      <c r="P11">
        <v>167.7</v>
      </c>
      <c r="Q11">
        <v>192.7</v>
      </c>
      <c r="R11">
        <v>165.7</v>
      </c>
      <c r="S11">
        <v>156.30000000000001</v>
      </c>
      <c r="T11">
        <v>164.3</v>
      </c>
      <c r="U11">
        <v>163.6</v>
      </c>
      <c r="V11" s="1">
        <v>163.6</v>
      </c>
      <c r="W11">
        <v>164.2</v>
      </c>
      <c r="X11">
        <v>158.4</v>
      </c>
      <c r="Y11">
        <v>169.1</v>
      </c>
      <c r="Z11">
        <v>155.69999999999999</v>
      </c>
      <c r="AA11">
        <v>158.6</v>
      </c>
      <c r="AB11">
        <v>163.9</v>
      </c>
      <c r="AC11">
        <v>160.80000000000001</v>
      </c>
      <c r="AD11">
        <v>161</v>
      </c>
      <c r="AE11">
        <v>165.5</v>
      </c>
      <c r="AF11">
        <v>2175.5</v>
      </c>
      <c r="AG11">
        <v>486.3</v>
      </c>
      <c r="AH11">
        <v>351.29999999999995</v>
      </c>
      <c r="AI11">
        <v>491.69999999999993</v>
      </c>
      <c r="AJ11">
        <v>1122.2</v>
      </c>
      <c r="AK11" s="10">
        <v>91471.513995553876</v>
      </c>
    </row>
    <row r="12" spans="1:39" x14ac:dyDescent="0.3">
      <c r="A12" t="s">
        <v>33</v>
      </c>
      <c r="B12">
        <v>2021</v>
      </c>
      <c r="C12" t="s">
        <v>44</v>
      </c>
      <c r="D12">
        <v>148.19999999999999</v>
      </c>
      <c r="E12">
        <v>201.6</v>
      </c>
      <c r="F12">
        <v>173</v>
      </c>
      <c r="G12">
        <v>159.30000000000001</v>
      </c>
      <c r="H12">
        <v>190.1</v>
      </c>
      <c r="I12">
        <v>156.5</v>
      </c>
      <c r="J12">
        <v>199.2</v>
      </c>
      <c r="K12">
        <v>165.3</v>
      </c>
      <c r="L12">
        <v>122.4</v>
      </c>
      <c r="M12">
        <v>169.6</v>
      </c>
      <c r="N12">
        <v>163.69999999999999</v>
      </c>
      <c r="O12">
        <v>175.5</v>
      </c>
      <c r="P12">
        <v>169.7</v>
      </c>
      <c r="Q12">
        <v>192.9</v>
      </c>
      <c r="R12">
        <v>167.2</v>
      </c>
      <c r="S12">
        <v>157.4</v>
      </c>
      <c r="T12">
        <v>165.8</v>
      </c>
      <c r="U12">
        <v>164.2</v>
      </c>
      <c r="V12" s="1">
        <v>164.2</v>
      </c>
      <c r="W12">
        <v>163.9</v>
      </c>
      <c r="X12">
        <v>159.30000000000001</v>
      </c>
      <c r="Y12">
        <v>169.9</v>
      </c>
      <c r="Z12">
        <v>154.80000000000001</v>
      </c>
      <c r="AA12">
        <v>159.80000000000001</v>
      </c>
      <c r="AB12">
        <v>164.3</v>
      </c>
      <c r="AC12">
        <v>162.19999999999999</v>
      </c>
      <c r="AD12">
        <v>161.4</v>
      </c>
      <c r="AE12">
        <v>166.7</v>
      </c>
      <c r="AF12">
        <v>2194.1</v>
      </c>
      <c r="AG12">
        <v>490.40000000000003</v>
      </c>
      <c r="AH12">
        <v>352.70000000000005</v>
      </c>
      <c r="AI12">
        <v>492.40000000000003</v>
      </c>
      <c r="AJ12">
        <v>1128.1000000000001</v>
      </c>
      <c r="AK12" s="10">
        <v>95105.451863192153</v>
      </c>
    </row>
    <row r="13" spans="1:39" x14ac:dyDescent="0.3">
      <c r="A13" t="s">
        <v>33</v>
      </c>
      <c r="B13">
        <v>2021</v>
      </c>
      <c r="C13" t="s">
        <v>45</v>
      </c>
      <c r="D13">
        <v>148.69999999999999</v>
      </c>
      <c r="E13">
        <v>198.8</v>
      </c>
      <c r="F13">
        <v>177.9</v>
      </c>
      <c r="G13">
        <v>159.9</v>
      </c>
      <c r="H13">
        <v>187.6</v>
      </c>
      <c r="I13">
        <v>154.9</v>
      </c>
      <c r="J13">
        <v>188.3</v>
      </c>
      <c r="K13">
        <v>164.4</v>
      </c>
      <c r="L13">
        <v>121</v>
      </c>
      <c r="M13">
        <v>170.5</v>
      </c>
      <c r="N13">
        <v>164.2</v>
      </c>
      <c r="O13">
        <v>176.5</v>
      </c>
      <c r="P13">
        <v>168.2</v>
      </c>
      <c r="Q13">
        <v>192.4</v>
      </c>
      <c r="R13">
        <v>168.5</v>
      </c>
      <c r="S13">
        <v>158.69999999999999</v>
      </c>
      <c r="T13">
        <v>167</v>
      </c>
      <c r="U13">
        <v>163.4</v>
      </c>
      <c r="V13" s="1">
        <v>163.4</v>
      </c>
      <c r="W13">
        <v>164.1</v>
      </c>
      <c r="X13">
        <v>160.19999999999999</v>
      </c>
      <c r="Y13">
        <v>170.6</v>
      </c>
      <c r="Z13">
        <v>155.69999999999999</v>
      </c>
      <c r="AA13">
        <v>160.6</v>
      </c>
      <c r="AB13">
        <v>164.4</v>
      </c>
      <c r="AC13">
        <v>162.6</v>
      </c>
      <c r="AD13">
        <v>162</v>
      </c>
      <c r="AE13">
        <v>166.2</v>
      </c>
      <c r="AF13">
        <v>2180.9</v>
      </c>
      <c r="AG13">
        <v>494.2</v>
      </c>
      <c r="AH13">
        <v>353</v>
      </c>
      <c r="AI13">
        <v>491.9</v>
      </c>
      <c r="AJ13">
        <v>1134.6999999999998</v>
      </c>
      <c r="AK13" s="10">
        <v>100380.52800837092</v>
      </c>
    </row>
    <row r="14" spans="1:39" x14ac:dyDescent="0.3">
      <c r="A14" t="s">
        <v>33</v>
      </c>
      <c r="B14">
        <v>2022</v>
      </c>
      <c r="C14" t="s">
        <v>31</v>
      </c>
      <c r="D14">
        <v>149.5</v>
      </c>
      <c r="E14">
        <v>198.7</v>
      </c>
      <c r="F14">
        <v>178.8</v>
      </c>
      <c r="G14">
        <v>160.5</v>
      </c>
      <c r="H14">
        <v>184.7</v>
      </c>
      <c r="I14">
        <v>153.69999999999999</v>
      </c>
      <c r="J14">
        <v>174.3</v>
      </c>
      <c r="K14">
        <v>163.9</v>
      </c>
      <c r="L14">
        <v>120</v>
      </c>
      <c r="M14">
        <v>172.1</v>
      </c>
      <c r="N14">
        <v>164.3</v>
      </c>
      <c r="O14">
        <v>177.3</v>
      </c>
      <c r="P14">
        <v>166.4</v>
      </c>
      <c r="Q14">
        <v>192.2</v>
      </c>
      <c r="R14">
        <v>169.9</v>
      </c>
      <c r="S14">
        <v>160.69999999999999</v>
      </c>
      <c r="T14">
        <v>168.5</v>
      </c>
      <c r="U14">
        <v>164.5</v>
      </c>
      <c r="V14" s="1">
        <v>164.5</v>
      </c>
      <c r="W14">
        <v>164.2</v>
      </c>
      <c r="X14">
        <v>161.1</v>
      </c>
      <c r="Y14">
        <v>171.4</v>
      </c>
      <c r="Z14">
        <v>156.5</v>
      </c>
      <c r="AA14">
        <v>161.19999999999999</v>
      </c>
      <c r="AB14">
        <v>164.7</v>
      </c>
      <c r="AC14">
        <v>163</v>
      </c>
      <c r="AD14">
        <v>162.69999999999999</v>
      </c>
      <c r="AE14">
        <v>165.7</v>
      </c>
      <c r="AF14">
        <v>2164.1999999999998</v>
      </c>
      <c r="AG14">
        <v>499.1</v>
      </c>
      <c r="AH14">
        <v>353.4</v>
      </c>
      <c r="AI14">
        <v>493.4</v>
      </c>
      <c r="AJ14">
        <v>1142.4000000000001</v>
      </c>
      <c r="AK14" s="10">
        <v>101828.28887769801</v>
      </c>
    </row>
    <row r="15" spans="1:39" x14ac:dyDescent="0.3">
      <c r="A15" t="s">
        <v>33</v>
      </c>
      <c r="B15">
        <v>2022</v>
      </c>
      <c r="C15" t="s">
        <v>34</v>
      </c>
      <c r="D15">
        <v>150</v>
      </c>
      <c r="E15">
        <v>200.6</v>
      </c>
      <c r="F15">
        <v>175.8</v>
      </c>
      <c r="G15">
        <v>160.69999999999999</v>
      </c>
      <c r="H15">
        <v>184.9</v>
      </c>
      <c r="I15">
        <v>153.69999999999999</v>
      </c>
      <c r="J15">
        <v>169.7</v>
      </c>
      <c r="K15">
        <v>163.69999999999999</v>
      </c>
      <c r="L15">
        <v>118.9</v>
      </c>
      <c r="M15">
        <v>174.3</v>
      </c>
      <c r="N15">
        <v>164.7</v>
      </c>
      <c r="O15">
        <v>178</v>
      </c>
      <c r="P15">
        <v>166.2</v>
      </c>
      <c r="Q15">
        <v>192.8</v>
      </c>
      <c r="R15">
        <v>170.8</v>
      </c>
      <c r="S15">
        <v>162.4</v>
      </c>
      <c r="T15">
        <v>169.6</v>
      </c>
      <c r="U15">
        <v>165.5</v>
      </c>
      <c r="V15" s="1">
        <v>165.5</v>
      </c>
      <c r="W15">
        <v>165.7</v>
      </c>
      <c r="X15">
        <v>161.80000000000001</v>
      </c>
      <c r="Y15">
        <v>172.2</v>
      </c>
      <c r="Z15">
        <v>156.9</v>
      </c>
      <c r="AA15">
        <v>162.1</v>
      </c>
      <c r="AB15">
        <v>165.4</v>
      </c>
      <c r="AC15">
        <v>164.4</v>
      </c>
      <c r="AD15">
        <v>163.5</v>
      </c>
      <c r="AE15">
        <v>166.1</v>
      </c>
      <c r="AF15">
        <v>2161.2000000000003</v>
      </c>
      <c r="AG15">
        <v>502.80000000000007</v>
      </c>
      <c r="AH15">
        <v>354.9</v>
      </c>
      <c r="AI15">
        <v>496.6</v>
      </c>
      <c r="AJ15">
        <v>1149.4000000000001</v>
      </c>
      <c r="AK15" s="10">
        <v>102317.68803371425</v>
      </c>
    </row>
    <row r="16" spans="1:39" x14ac:dyDescent="0.3">
      <c r="A16" t="s">
        <v>33</v>
      </c>
      <c r="B16">
        <v>2022</v>
      </c>
      <c r="C16" t="s">
        <v>35</v>
      </c>
      <c r="D16">
        <v>151.30000000000001</v>
      </c>
      <c r="E16">
        <v>210.7</v>
      </c>
      <c r="F16">
        <v>167.8</v>
      </c>
      <c r="G16">
        <v>162.19999999999999</v>
      </c>
      <c r="H16">
        <v>194.6</v>
      </c>
      <c r="I16">
        <v>157.6</v>
      </c>
      <c r="J16">
        <v>166.9</v>
      </c>
      <c r="K16">
        <v>163.9</v>
      </c>
      <c r="L16">
        <v>118.8</v>
      </c>
      <c r="M16">
        <v>177.4</v>
      </c>
      <c r="N16">
        <v>165.3</v>
      </c>
      <c r="O16">
        <v>179.3</v>
      </c>
      <c r="P16">
        <v>168.4</v>
      </c>
      <c r="Q16">
        <v>193.7</v>
      </c>
      <c r="R16">
        <v>172.1</v>
      </c>
      <c r="S16">
        <v>164.6</v>
      </c>
      <c r="T16">
        <v>171.1</v>
      </c>
      <c r="U16">
        <v>165.3</v>
      </c>
      <c r="V16" s="1">
        <v>165.3</v>
      </c>
      <c r="W16">
        <v>167.2</v>
      </c>
      <c r="X16">
        <v>162.80000000000001</v>
      </c>
      <c r="Y16">
        <v>173</v>
      </c>
      <c r="Z16">
        <v>157.9</v>
      </c>
      <c r="AA16">
        <v>163.30000000000001</v>
      </c>
      <c r="AB16">
        <v>166</v>
      </c>
      <c r="AC16">
        <v>167.2</v>
      </c>
      <c r="AD16">
        <v>164.6</v>
      </c>
      <c r="AE16">
        <v>167.7</v>
      </c>
      <c r="AF16">
        <v>2184.2000000000003</v>
      </c>
      <c r="AG16">
        <v>507.79999999999995</v>
      </c>
      <c r="AH16">
        <v>357</v>
      </c>
      <c r="AI16">
        <v>498.5</v>
      </c>
      <c r="AJ16">
        <v>1160.2999999999997</v>
      </c>
      <c r="AK16" s="10">
        <v>134181.47733497745</v>
      </c>
    </row>
    <row r="17" spans="1:37" x14ac:dyDescent="0.3">
      <c r="A17" t="s">
        <v>33</v>
      </c>
      <c r="B17">
        <v>2022</v>
      </c>
      <c r="C17" t="s">
        <v>36</v>
      </c>
      <c r="D17">
        <v>152.9</v>
      </c>
      <c r="E17">
        <v>211.8</v>
      </c>
      <c r="F17">
        <v>164.5</v>
      </c>
      <c r="G17">
        <v>163.9</v>
      </c>
      <c r="H17">
        <v>199.5</v>
      </c>
      <c r="I17">
        <v>172.6</v>
      </c>
      <c r="J17">
        <v>166.2</v>
      </c>
      <c r="K17">
        <v>164.7</v>
      </c>
      <c r="L17">
        <v>119</v>
      </c>
      <c r="M17">
        <v>181.3</v>
      </c>
      <c r="N17">
        <v>166.2</v>
      </c>
      <c r="O17">
        <v>180.9</v>
      </c>
      <c r="P17">
        <v>170.8</v>
      </c>
      <c r="Q17">
        <v>193.9</v>
      </c>
      <c r="R17">
        <v>173.9</v>
      </c>
      <c r="S17">
        <v>166.5</v>
      </c>
      <c r="T17">
        <v>172.8</v>
      </c>
      <c r="U17">
        <v>167</v>
      </c>
      <c r="V17" s="1">
        <v>167</v>
      </c>
      <c r="W17">
        <v>172.2</v>
      </c>
      <c r="X17">
        <v>164</v>
      </c>
      <c r="Y17">
        <v>174</v>
      </c>
      <c r="Z17">
        <v>162.6</v>
      </c>
      <c r="AA17">
        <v>164.4</v>
      </c>
      <c r="AB17">
        <v>166.9</v>
      </c>
      <c r="AC17">
        <v>168.8</v>
      </c>
      <c r="AD17">
        <v>166.8</v>
      </c>
      <c r="AE17">
        <v>170.1</v>
      </c>
      <c r="AF17">
        <v>2214.3000000000002</v>
      </c>
      <c r="AG17">
        <v>513.20000000000005</v>
      </c>
      <c r="AH17">
        <v>358.3</v>
      </c>
      <c r="AI17">
        <v>506.1</v>
      </c>
      <c r="AJ17">
        <v>1175.4000000000001</v>
      </c>
      <c r="AK17" s="10">
        <v>151257.77739211501</v>
      </c>
    </row>
    <row r="18" spans="1:37" x14ac:dyDescent="0.3">
      <c r="A18" t="s">
        <v>33</v>
      </c>
      <c r="B18">
        <v>2022</v>
      </c>
      <c r="C18" t="s">
        <v>37</v>
      </c>
      <c r="D18">
        <v>154.1</v>
      </c>
      <c r="E18">
        <v>217</v>
      </c>
      <c r="F18">
        <v>162.4</v>
      </c>
      <c r="G18">
        <v>164.9</v>
      </c>
      <c r="H18">
        <v>202.4</v>
      </c>
      <c r="I18">
        <v>171</v>
      </c>
      <c r="J18">
        <v>174.9</v>
      </c>
      <c r="K18">
        <v>164.7</v>
      </c>
      <c r="L18">
        <v>119.7</v>
      </c>
      <c r="M18">
        <v>184.9</v>
      </c>
      <c r="N18">
        <v>167.1</v>
      </c>
      <c r="O18">
        <v>182.5</v>
      </c>
      <c r="P18">
        <v>173.3</v>
      </c>
      <c r="Q18">
        <v>194.1</v>
      </c>
      <c r="R18">
        <v>175.6</v>
      </c>
      <c r="S18">
        <v>168.4</v>
      </c>
      <c r="T18">
        <v>174.6</v>
      </c>
      <c r="U18">
        <v>167.5</v>
      </c>
      <c r="V18" s="1">
        <v>167.5</v>
      </c>
      <c r="W18">
        <v>174.6</v>
      </c>
      <c r="X18">
        <v>165.2</v>
      </c>
      <c r="Y18">
        <v>174.8</v>
      </c>
      <c r="Z18">
        <v>163</v>
      </c>
      <c r="AA18">
        <v>165.1</v>
      </c>
      <c r="AB18">
        <v>167.9</v>
      </c>
      <c r="AC18">
        <v>168.4</v>
      </c>
      <c r="AD18">
        <v>167.5</v>
      </c>
      <c r="AE18">
        <v>171.7</v>
      </c>
      <c r="AF18">
        <v>2238.9000000000005</v>
      </c>
      <c r="AG18">
        <v>518.6</v>
      </c>
      <c r="AH18">
        <v>359.2</v>
      </c>
      <c r="AI18">
        <v>510</v>
      </c>
      <c r="AJ18">
        <v>1182.6999999999998</v>
      </c>
      <c r="AK18" s="10">
        <v>137781.52369026651</v>
      </c>
    </row>
    <row r="19" spans="1:37" x14ac:dyDescent="0.3">
      <c r="A19" t="s">
        <v>33</v>
      </c>
      <c r="B19">
        <v>2022</v>
      </c>
      <c r="C19" t="s">
        <v>38</v>
      </c>
      <c r="D19">
        <v>155</v>
      </c>
      <c r="E19">
        <v>219.4</v>
      </c>
      <c r="F19">
        <v>170.8</v>
      </c>
      <c r="G19">
        <v>165.8</v>
      </c>
      <c r="H19">
        <v>200.9</v>
      </c>
      <c r="I19">
        <v>169.7</v>
      </c>
      <c r="J19">
        <v>182.3</v>
      </c>
      <c r="K19">
        <v>164.3</v>
      </c>
      <c r="L19">
        <v>119.9</v>
      </c>
      <c r="M19">
        <v>187.1</v>
      </c>
      <c r="N19">
        <v>167.9</v>
      </c>
      <c r="O19">
        <v>183.9</v>
      </c>
      <c r="P19">
        <v>174.9</v>
      </c>
      <c r="Q19">
        <v>194.3</v>
      </c>
      <c r="R19">
        <v>177.1</v>
      </c>
      <c r="S19">
        <v>169.9</v>
      </c>
      <c r="T19">
        <v>176</v>
      </c>
      <c r="U19">
        <v>166.8</v>
      </c>
      <c r="V19" s="1">
        <v>166.8</v>
      </c>
      <c r="W19">
        <v>176</v>
      </c>
      <c r="X19">
        <v>166.4</v>
      </c>
      <c r="Y19">
        <v>175.4</v>
      </c>
      <c r="Z19">
        <v>161.1</v>
      </c>
      <c r="AA19">
        <v>165.8</v>
      </c>
      <c r="AB19">
        <v>169</v>
      </c>
      <c r="AC19">
        <v>169.4</v>
      </c>
      <c r="AD19">
        <v>167.5</v>
      </c>
      <c r="AE19">
        <v>172.6</v>
      </c>
      <c r="AF19">
        <v>2261.9</v>
      </c>
      <c r="AG19">
        <v>523</v>
      </c>
      <c r="AH19">
        <v>360.1</v>
      </c>
      <c r="AI19">
        <v>511.8</v>
      </c>
      <c r="AJ19">
        <v>1187.4000000000001</v>
      </c>
      <c r="AK19" s="10">
        <v>140361.99809642398</v>
      </c>
    </row>
    <row r="20" spans="1:37" x14ac:dyDescent="0.3">
      <c r="A20" t="s">
        <v>33</v>
      </c>
      <c r="B20">
        <v>2022</v>
      </c>
      <c r="C20" t="s">
        <v>39</v>
      </c>
      <c r="D20">
        <v>156.5</v>
      </c>
      <c r="E20">
        <v>213</v>
      </c>
      <c r="F20">
        <v>175.2</v>
      </c>
      <c r="G20">
        <v>166.6</v>
      </c>
      <c r="H20">
        <v>195.8</v>
      </c>
      <c r="I20">
        <v>174.2</v>
      </c>
      <c r="J20">
        <v>182.1</v>
      </c>
      <c r="K20">
        <v>164.3</v>
      </c>
      <c r="L20">
        <v>120</v>
      </c>
      <c r="M20">
        <v>190</v>
      </c>
      <c r="N20">
        <v>168.4</v>
      </c>
      <c r="O20">
        <v>185.2</v>
      </c>
      <c r="P20">
        <v>175</v>
      </c>
      <c r="Q20">
        <v>194.6</v>
      </c>
      <c r="R20">
        <v>178.3</v>
      </c>
      <c r="S20">
        <v>171.3</v>
      </c>
      <c r="T20">
        <v>177.3</v>
      </c>
      <c r="U20">
        <v>167.8</v>
      </c>
      <c r="V20" s="1">
        <v>167.8</v>
      </c>
      <c r="W20">
        <v>179.6</v>
      </c>
      <c r="X20">
        <v>167.4</v>
      </c>
      <c r="Y20">
        <v>176.1</v>
      </c>
      <c r="Z20">
        <v>161.6</v>
      </c>
      <c r="AA20">
        <v>166.3</v>
      </c>
      <c r="AB20">
        <v>171.4</v>
      </c>
      <c r="AC20">
        <v>169.7</v>
      </c>
      <c r="AD20">
        <v>168.4</v>
      </c>
      <c r="AE20">
        <v>173.4</v>
      </c>
      <c r="AF20">
        <v>2266.3000000000002</v>
      </c>
      <c r="AG20">
        <v>526.90000000000009</v>
      </c>
      <c r="AH20">
        <v>360.9</v>
      </c>
      <c r="AI20">
        <v>518.79999999999995</v>
      </c>
      <c r="AJ20">
        <v>1194.0000000000002</v>
      </c>
      <c r="AK20" s="10">
        <v>148619.35499624049</v>
      </c>
    </row>
    <row r="21" spans="1:37" x14ac:dyDescent="0.3">
      <c r="A21" t="s">
        <v>33</v>
      </c>
      <c r="B21">
        <v>2022</v>
      </c>
      <c r="C21" t="s">
        <v>40</v>
      </c>
      <c r="D21">
        <v>160.30000000000001</v>
      </c>
      <c r="E21">
        <v>206.5</v>
      </c>
      <c r="F21">
        <v>169.2</v>
      </c>
      <c r="G21">
        <v>168.1</v>
      </c>
      <c r="H21">
        <v>192.4</v>
      </c>
      <c r="I21">
        <v>172.9</v>
      </c>
      <c r="J21">
        <v>186.7</v>
      </c>
      <c r="K21">
        <v>167.2</v>
      </c>
      <c r="L21">
        <v>120.9</v>
      </c>
      <c r="M21">
        <v>193.6</v>
      </c>
      <c r="N21">
        <v>168.8</v>
      </c>
      <c r="O21">
        <v>186.3</v>
      </c>
      <c r="P21">
        <v>176.3</v>
      </c>
      <c r="Q21">
        <v>195</v>
      </c>
      <c r="R21">
        <v>179.5</v>
      </c>
      <c r="S21">
        <v>172.7</v>
      </c>
      <c r="T21">
        <v>178.5</v>
      </c>
      <c r="U21">
        <v>169</v>
      </c>
      <c r="V21" s="1">
        <v>169</v>
      </c>
      <c r="W21">
        <v>178.8</v>
      </c>
      <c r="X21">
        <v>168.5</v>
      </c>
      <c r="Y21">
        <v>176.8</v>
      </c>
      <c r="Z21">
        <v>161.9</v>
      </c>
      <c r="AA21">
        <v>166.9</v>
      </c>
      <c r="AB21">
        <v>172.3</v>
      </c>
      <c r="AC21">
        <v>171.2</v>
      </c>
      <c r="AD21">
        <v>169.1</v>
      </c>
      <c r="AE21">
        <v>174.3</v>
      </c>
      <c r="AF21">
        <v>2269.2000000000003</v>
      </c>
      <c r="AG21">
        <v>530.70000000000005</v>
      </c>
      <c r="AH21">
        <v>361.9</v>
      </c>
      <c r="AI21">
        <v>520.1</v>
      </c>
      <c r="AJ21">
        <v>1201.3999999999999</v>
      </c>
      <c r="AK21" s="10">
        <v>120976.19320076992</v>
      </c>
    </row>
    <row r="22" spans="1:37" x14ac:dyDescent="0.3">
      <c r="A22" t="s">
        <v>33</v>
      </c>
      <c r="B22">
        <v>2022</v>
      </c>
      <c r="C22" t="s">
        <v>41</v>
      </c>
      <c r="D22">
        <v>163.5</v>
      </c>
      <c r="E22">
        <v>209.2</v>
      </c>
      <c r="F22">
        <v>169.7</v>
      </c>
      <c r="G22">
        <v>169.7</v>
      </c>
      <c r="H22">
        <v>188.7</v>
      </c>
      <c r="I22">
        <v>165.7</v>
      </c>
      <c r="J22">
        <v>191.8</v>
      </c>
      <c r="K22">
        <v>169.1</v>
      </c>
      <c r="L22">
        <v>121.6</v>
      </c>
      <c r="M22">
        <v>197.3</v>
      </c>
      <c r="N22">
        <v>169.4</v>
      </c>
      <c r="O22">
        <v>187.4</v>
      </c>
      <c r="P22">
        <v>177.8</v>
      </c>
      <c r="Q22">
        <v>195.9</v>
      </c>
      <c r="R22">
        <v>180.9</v>
      </c>
      <c r="S22">
        <v>174.3</v>
      </c>
      <c r="T22">
        <v>179.9</v>
      </c>
      <c r="U22">
        <v>169.5</v>
      </c>
      <c r="V22" s="1">
        <v>169.5</v>
      </c>
      <c r="W22">
        <v>179.5</v>
      </c>
      <c r="X22">
        <v>169.5</v>
      </c>
      <c r="Y22">
        <v>177.8</v>
      </c>
      <c r="Z22">
        <v>162.30000000000001</v>
      </c>
      <c r="AA22">
        <v>167.6</v>
      </c>
      <c r="AB22">
        <v>173.1</v>
      </c>
      <c r="AC22">
        <v>170.9</v>
      </c>
      <c r="AD22">
        <v>169.7</v>
      </c>
      <c r="AE22">
        <v>175.3</v>
      </c>
      <c r="AF22">
        <v>2280.9</v>
      </c>
      <c r="AG22">
        <v>535.1</v>
      </c>
      <c r="AH22">
        <v>363.5</v>
      </c>
      <c r="AI22">
        <v>522.1</v>
      </c>
      <c r="AJ22">
        <v>1207.5000000000002</v>
      </c>
      <c r="AK22" s="10">
        <v>110015.88104199871</v>
      </c>
    </row>
    <row r="23" spans="1:37" x14ac:dyDescent="0.3">
      <c r="A23" t="s">
        <v>33</v>
      </c>
      <c r="B23">
        <v>2022</v>
      </c>
      <c r="C23" t="s">
        <v>42</v>
      </c>
      <c r="D23">
        <v>165.2</v>
      </c>
      <c r="E23">
        <v>210.9</v>
      </c>
      <c r="F23">
        <v>170.9</v>
      </c>
      <c r="G23">
        <v>170.9</v>
      </c>
      <c r="H23">
        <v>186.5</v>
      </c>
      <c r="I23">
        <v>163.80000000000001</v>
      </c>
      <c r="J23">
        <v>199.7</v>
      </c>
      <c r="K23">
        <v>169.8</v>
      </c>
      <c r="L23">
        <v>121.9</v>
      </c>
      <c r="M23">
        <v>199.9</v>
      </c>
      <c r="N23">
        <v>169.9</v>
      </c>
      <c r="O23">
        <v>188.3</v>
      </c>
      <c r="P23">
        <v>179.6</v>
      </c>
      <c r="Q23">
        <v>196.3</v>
      </c>
      <c r="R23">
        <v>181.9</v>
      </c>
      <c r="S23">
        <v>175.3</v>
      </c>
      <c r="T23">
        <v>181</v>
      </c>
      <c r="U23">
        <v>171.2</v>
      </c>
      <c r="V23" s="1">
        <v>171.2</v>
      </c>
      <c r="W23">
        <v>180.5</v>
      </c>
      <c r="X23">
        <v>170.4</v>
      </c>
      <c r="Y23">
        <v>178.7</v>
      </c>
      <c r="Z23">
        <v>162.9</v>
      </c>
      <c r="AA23">
        <v>168.2</v>
      </c>
      <c r="AB23">
        <v>173.4</v>
      </c>
      <c r="AC23">
        <v>172.1</v>
      </c>
      <c r="AD23">
        <v>170.5</v>
      </c>
      <c r="AE23">
        <v>176.7</v>
      </c>
      <c r="AF23">
        <v>2297.3000000000002</v>
      </c>
      <c r="AG23">
        <v>538.20000000000005</v>
      </c>
      <c r="AH23">
        <v>364.5</v>
      </c>
      <c r="AI23">
        <v>525.1</v>
      </c>
      <c r="AJ23">
        <v>1214.0999999999999</v>
      </c>
      <c r="AK23" s="10">
        <v>116548.19734168371</v>
      </c>
    </row>
    <row r="24" spans="1:37" x14ac:dyDescent="0.3">
      <c r="A24" t="s">
        <v>33</v>
      </c>
      <c r="B24">
        <v>2022</v>
      </c>
      <c r="C24" t="s">
        <v>44</v>
      </c>
      <c r="D24">
        <v>167.4</v>
      </c>
      <c r="E24">
        <v>209.4</v>
      </c>
      <c r="F24">
        <v>181.4</v>
      </c>
      <c r="G24">
        <v>172.3</v>
      </c>
      <c r="H24">
        <v>188.9</v>
      </c>
      <c r="I24">
        <v>160.69999999999999</v>
      </c>
      <c r="J24">
        <v>183.1</v>
      </c>
      <c r="K24">
        <v>170.5</v>
      </c>
      <c r="L24">
        <v>122.1</v>
      </c>
      <c r="M24">
        <v>202.8</v>
      </c>
      <c r="N24">
        <v>170.4</v>
      </c>
      <c r="O24">
        <v>189.5</v>
      </c>
      <c r="P24">
        <v>178.3</v>
      </c>
      <c r="Q24">
        <v>196.9</v>
      </c>
      <c r="R24">
        <v>183.1</v>
      </c>
      <c r="S24">
        <v>176.2</v>
      </c>
      <c r="T24">
        <v>182.1</v>
      </c>
      <c r="U24">
        <v>171.8</v>
      </c>
      <c r="V24" s="1">
        <v>171.8</v>
      </c>
      <c r="W24">
        <v>181.3</v>
      </c>
      <c r="X24">
        <v>171.4</v>
      </c>
      <c r="Y24">
        <v>179.8</v>
      </c>
      <c r="Z24">
        <v>163</v>
      </c>
      <c r="AA24">
        <v>168.5</v>
      </c>
      <c r="AB24">
        <v>173.7</v>
      </c>
      <c r="AC24">
        <v>173.6</v>
      </c>
      <c r="AD24">
        <v>171.1</v>
      </c>
      <c r="AE24">
        <v>176.5</v>
      </c>
      <c r="AF24">
        <v>2296.8000000000002</v>
      </c>
      <c r="AG24">
        <v>541.4</v>
      </c>
      <c r="AH24">
        <v>365.4</v>
      </c>
      <c r="AI24">
        <v>526.79999999999995</v>
      </c>
      <c r="AJ24">
        <v>1220.4999999999998</v>
      </c>
      <c r="AK24" s="10">
        <v>118277.27620134089</v>
      </c>
    </row>
    <row r="25" spans="1:37" x14ac:dyDescent="0.3">
      <c r="A25" t="s">
        <v>33</v>
      </c>
      <c r="B25">
        <v>2022</v>
      </c>
      <c r="C25" t="s">
        <v>45</v>
      </c>
      <c r="D25">
        <v>169.2</v>
      </c>
      <c r="E25">
        <v>209</v>
      </c>
      <c r="F25">
        <v>190.2</v>
      </c>
      <c r="G25">
        <v>173.6</v>
      </c>
      <c r="H25">
        <v>188.5</v>
      </c>
      <c r="I25">
        <v>158</v>
      </c>
      <c r="J25">
        <v>159.9</v>
      </c>
      <c r="K25">
        <v>170.8</v>
      </c>
      <c r="L25">
        <v>121.8</v>
      </c>
      <c r="M25">
        <v>205.2</v>
      </c>
      <c r="N25">
        <v>171</v>
      </c>
      <c r="O25">
        <v>190.3</v>
      </c>
      <c r="P25">
        <v>175.9</v>
      </c>
      <c r="Q25">
        <v>197.3</v>
      </c>
      <c r="R25">
        <v>184</v>
      </c>
      <c r="S25">
        <v>177</v>
      </c>
      <c r="T25">
        <v>183</v>
      </c>
      <c r="U25">
        <v>170.7</v>
      </c>
      <c r="V25" s="1">
        <v>170.7</v>
      </c>
      <c r="W25">
        <v>182</v>
      </c>
      <c r="X25">
        <v>172.1</v>
      </c>
      <c r="Y25">
        <v>181.1</v>
      </c>
      <c r="Z25">
        <v>163.4</v>
      </c>
      <c r="AA25">
        <v>168.9</v>
      </c>
      <c r="AB25">
        <v>174.1</v>
      </c>
      <c r="AC25">
        <v>175.8</v>
      </c>
      <c r="AD25">
        <v>172</v>
      </c>
      <c r="AE25">
        <v>175.7</v>
      </c>
      <c r="AF25">
        <v>2283.4</v>
      </c>
      <c r="AG25">
        <v>544</v>
      </c>
      <c r="AH25">
        <v>366.20000000000005</v>
      </c>
      <c r="AI25">
        <v>526.79999999999995</v>
      </c>
      <c r="AJ25">
        <v>1227.3</v>
      </c>
      <c r="AK25" s="10">
        <v>112095.477543425</v>
      </c>
    </row>
    <row r="26" spans="1:37" x14ac:dyDescent="0.3">
      <c r="A26" t="s">
        <v>33</v>
      </c>
      <c r="B26">
        <v>2023</v>
      </c>
      <c r="C26" t="s">
        <v>31</v>
      </c>
      <c r="D26">
        <v>173.8</v>
      </c>
      <c r="E26">
        <v>210.7</v>
      </c>
      <c r="F26">
        <v>194.5</v>
      </c>
      <c r="G26">
        <v>174.6</v>
      </c>
      <c r="H26">
        <v>187.2</v>
      </c>
      <c r="I26">
        <v>158.30000000000001</v>
      </c>
      <c r="J26">
        <v>153.9</v>
      </c>
      <c r="K26">
        <v>170.9</v>
      </c>
      <c r="L26">
        <v>121.1</v>
      </c>
      <c r="M26">
        <v>208.4</v>
      </c>
      <c r="N26">
        <v>171.4</v>
      </c>
      <c r="O26">
        <v>191.2</v>
      </c>
      <c r="P26">
        <v>176.7</v>
      </c>
      <c r="Q26">
        <v>198.2</v>
      </c>
      <c r="R26">
        <v>184.9</v>
      </c>
      <c r="S26">
        <v>177.6</v>
      </c>
      <c r="T26">
        <v>183.8</v>
      </c>
      <c r="U26">
        <v>172.1</v>
      </c>
      <c r="V26" s="1">
        <v>172.1</v>
      </c>
      <c r="W26">
        <v>182</v>
      </c>
      <c r="X26">
        <v>172.9</v>
      </c>
      <c r="Y26">
        <v>182.3</v>
      </c>
      <c r="Z26">
        <v>163.6</v>
      </c>
      <c r="AA26">
        <v>169.5</v>
      </c>
      <c r="AB26">
        <v>174.3</v>
      </c>
      <c r="AC26">
        <v>178.6</v>
      </c>
      <c r="AD26">
        <v>172.8</v>
      </c>
      <c r="AE26">
        <v>176.5</v>
      </c>
      <c r="AF26">
        <v>2292.6999999999998</v>
      </c>
      <c r="AG26">
        <v>546.29999999999995</v>
      </c>
      <c r="AH26">
        <v>367.7</v>
      </c>
      <c r="AI26">
        <v>528.40000000000009</v>
      </c>
      <c r="AJ26">
        <v>1234.1999999999998</v>
      </c>
      <c r="AK26" s="10">
        <v>108892.9652336391</v>
      </c>
    </row>
    <row r="27" spans="1:37" x14ac:dyDescent="0.3">
      <c r="A27" t="s">
        <v>33</v>
      </c>
      <c r="B27">
        <v>2023</v>
      </c>
      <c r="C27" t="s">
        <v>34</v>
      </c>
      <c r="D27">
        <v>174.4</v>
      </c>
      <c r="E27">
        <v>207.7</v>
      </c>
      <c r="F27">
        <v>175.2</v>
      </c>
      <c r="G27">
        <v>177.3</v>
      </c>
      <c r="H27">
        <v>179.3</v>
      </c>
      <c r="I27">
        <v>169.5</v>
      </c>
      <c r="J27">
        <v>152.69999999999999</v>
      </c>
      <c r="K27">
        <v>171</v>
      </c>
      <c r="L27">
        <v>120</v>
      </c>
      <c r="M27">
        <v>209.7</v>
      </c>
      <c r="N27">
        <v>172.3</v>
      </c>
      <c r="O27">
        <v>193</v>
      </c>
      <c r="P27">
        <v>177</v>
      </c>
      <c r="Q27">
        <v>199.5</v>
      </c>
      <c r="R27">
        <v>186.2</v>
      </c>
      <c r="S27">
        <v>178.7</v>
      </c>
      <c r="T27">
        <v>185.1</v>
      </c>
      <c r="U27">
        <v>173.5</v>
      </c>
      <c r="V27" s="1">
        <v>173.5</v>
      </c>
      <c r="W27">
        <v>182.1</v>
      </c>
      <c r="X27">
        <v>174.2</v>
      </c>
      <c r="Y27">
        <v>184.4</v>
      </c>
      <c r="Z27">
        <v>164.2</v>
      </c>
      <c r="AA27">
        <v>170.3</v>
      </c>
      <c r="AB27">
        <v>175</v>
      </c>
      <c r="AC27">
        <v>181</v>
      </c>
      <c r="AD27">
        <v>174.1</v>
      </c>
      <c r="AE27">
        <v>177.2</v>
      </c>
      <c r="AF27">
        <v>2279.1</v>
      </c>
      <c r="AG27">
        <v>550</v>
      </c>
      <c r="AH27">
        <v>369.8</v>
      </c>
      <c r="AI27">
        <v>530.6</v>
      </c>
      <c r="AJ27">
        <v>1243.5</v>
      </c>
      <c r="AK27" s="10">
        <v>103743.50619254357</v>
      </c>
    </row>
    <row r="28" spans="1:37" x14ac:dyDescent="0.3">
      <c r="A28" t="s">
        <v>33</v>
      </c>
      <c r="B28">
        <v>2023</v>
      </c>
      <c r="C28" t="s">
        <v>35</v>
      </c>
      <c r="D28">
        <v>174.4</v>
      </c>
      <c r="E28">
        <v>207.7</v>
      </c>
      <c r="F28">
        <v>175.2</v>
      </c>
      <c r="G28">
        <v>177.3</v>
      </c>
      <c r="H28">
        <v>179.2</v>
      </c>
      <c r="I28">
        <v>169.5</v>
      </c>
      <c r="J28">
        <v>152.80000000000001</v>
      </c>
      <c r="K28">
        <v>171.1</v>
      </c>
      <c r="L28">
        <v>120</v>
      </c>
      <c r="M28">
        <v>209.7</v>
      </c>
      <c r="N28">
        <v>172.3</v>
      </c>
      <c r="O28">
        <v>193</v>
      </c>
      <c r="P28">
        <v>177</v>
      </c>
      <c r="Q28">
        <v>199.5</v>
      </c>
      <c r="R28">
        <v>186.1</v>
      </c>
      <c r="S28">
        <v>178.7</v>
      </c>
      <c r="T28">
        <v>185.1</v>
      </c>
      <c r="U28">
        <v>173.5</v>
      </c>
      <c r="V28" s="1">
        <v>173.5</v>
      </c>
      <c r="W28">
        <v>181.9</v>
      </c>
      <c r="X28">
        <v>174.2</v>
      </c>
      <c r="Y28">
        <v>184.4</v>
      </c>
      <c r="Z28">
        <v>164.2</v>
      </c>
      <c r="AA28">
        <v>170.3</v>
      </c>
      <c r="AB28">
        <v>175</v>
      </c>
      <c r="AC28">
        <v>181</v>
      </c>
      <c r="AD28">
        <v>174.1</v>
      </c>
      <c r="AE28">
        <v>177.2</v>
      </c>
      <c r="AF28">
        <v>2279.1999999999998</v>
      </c>
      <c r="AG28">
        <v>549.9</v>
      </c>
      <c r="AH28">
        <v>369.8</v>
      </c>
      <c r="AI28">
        <v>530.4</v>
      </c>
      <c r="AJ28">
        <v>1243.3999999999999</v>
      </c>
      <c r="AK28" s="10">
        <v>107655.66151560735</v>
      </c>
    </row>
    <row r="29" spans="1:37" x14ac:dyDescent="0.3">
      <c r="A29" t="s">
        <v>33</v>
      </c>
      <c r="B29">
        <v>2023</v>
      </c>
      <c r="C29" t="s">
        <v>36</v>
      </c>
      <c r="D29">
        <v>173.8</v>
      </c>
      <c r="E29">
        <v>209.3</v>
      </c>
      <c r="F29">
        <v>169.6</v>
      </c>
      <c r="G29">
        <v>178.4</v>
      </c>
      <c r="H29">
        <v>174.9</v>
      </c>
      <c r="I29">
        <v>176.3</v>
      </c>
      <c r="J29">
        <v>155.4</v>
      </c>
      <c r="K29">
        <v>173.4</v>
      </c>
      <c r="L29">
        <v>121.3</v>
      </c>
      <c r="M29">
        <v>212.9</v>
      </c>
      <c r="N29">
        <v>172.9</v>
      </c>
      <c r="O29">
        <v>193.5</v>
      </c>
      <c r="P29">
        <v>177.9</v>
      </c>
      <c r="Q29">
        <v>200.6</v>
      </c>
      <c r="R29">
        <v>186.9</v>
      </c>
      <c r="S29">
        <v>179.2</v>
      </c>
      <c r="T29">
        <v>185.7</v>
      </c>
      <c r="U29">
        <v>175.2</v>
      </c>
      <c r="V29" s="1">
        <v>175.2</v>
      </c>
      <c r="W29">
        <v>181.7</v>
      </c>
      <c r="X29">
        <v>174.6</v>
      </c>
      <c r="Y29">
        <v>185</v>
      </c>
      <c r="Z29">
        <v>164.5</v>
      </c>
      <c r="AA29">
        <v>170.7</v>
      </c>
      <c r="AB29">
        <v>176.4</v>
      </c>
      <c r="AC29">
        <v>184</v>
      </c>
      <c r="AD29">
        <v>175</v>
      </c>
      <c r="AE29">
        <v>178.1</v>
      </c>
      <c r="AF29">
        <v>2289.6000000000004</v>
      </c>
      <c r="AG29">
        <v>551.79999999999995</v>
      </c>
      <c r="AH29">
        <v>371.29999999999995</v>
      </c>
      <c r="AI29">
        <v>533.29999999999995</v>
      </c>
      <c r="AJ29">
        <v>1249.9000000000001</v>
      </c>
      <c r="AK29" s="10">
        <v>101210.18326534321</v>
      </c>
    </row>
    <row r="30" spans="1:37" x14ac:dyDescent="0.3">
      <c r="A30" t="s">
        <v>33</v>
      </c>
      <c r="B30">
        <v>2023</v>
      </c>
      <c r="C30" t="s">
        <v>37</v>
      </c>
      <c r="D30">
        <v>173.7</v>
      </c>
      <c r="E30">
        <v>214.3</v>
      </c>
      <c r="F30">
        <v>173.2</v>
      </c>
      <c r="G30">
        <v>179.5</v>
      </c>
      <c r="H30">
        <v>170</v>
      </c>
      <c r="I30">
        <v>172.2</v>
      </c>
      <c r="J30">
        <v>161</v>
      </c>
      <c r="K30">
        <v>175.6</v>
      </c>
      <c r="L30">
        <v>122.7</v>
      </c>
      <c r="M30">
        <v>218</v>
      </c>
      <c r="N30">
        <v>173.4</v>
      </c>
      <c r="O30">
        <v>194.2</v>
      </c>
      <c r="P30">
        <v>179.1</v>
      </c>
      <c r="Q30">
        <v>201</v>
      </c>
      <c r="R30">
        <v>187.3</v>
      </c>
      <c r="S30">
        <v>179.7</v>
      </c>
      <c r="T30">
        <v>186.2</v>
      </c>
      <c r="U30">
        <v>175.6</v>
      </c>
      <c r="V30" s="1">
        <v>175.6</v>
      </c>
      <c r="W30">
        <v>182.8</v>
      </c>
      <c r="X30">
        <v>175.2</v>
      </c>
      <c r="Y30">
        <v>185.7</v>
      </c>
      <c r="Z30">
        <v>164.8</v>
      </c>
      <c r="AA30">
        <v>171.2</v>
      </c>
      <c r="AB30">
        <v>177.1</v>
      </c>
      <c r="AC30">
        <v>185.2</v>
      </c>
      <c r="AD30">
        <v>175.7</v>
      </c>
      <c r="AE30">
        <v>179.1</v>
      </c>
      <c r="AF30">
        <v>2306.9</v>
      </c>
      <c r="AG30">
        <v>553.20000000000005</v>
      </c>
      <c r="AH30">
        <v>372.2</v>
      </c>
      <c r="AI30">
        <v>535.5</v>
      </c>
      <c r="AJ30">
        <v>1254.1000000000001</v>
      </c>
      <c r="AK30" s="10">
        <v>103486.66840899385</v>
      </c>
    </row>
    <row r="31" spans="1:37" x14ac:dyDescent="0.3">
      <c r="A31" s="7" t="s">
        <v>91</v>
      </c>
      <c r="D31" s="7">
        <f t="shared" ref="D31:AJ31" si="0">CORREL(D2:D30,Crude)</f>
        <v>0.43987122925194438</v>
      </c>
      <c r="E31" s="7">
        <f t="shared" si="0"/>
        <v>0.79268302343034813</v>
      </c>
      <c r="F31" s="7">
        <f t="shared" si="0"/>
        <v>-8.3046580737129894E-2</v>
      </c>
      <c r="G31" s="7">
        <f t="shared" si="0"/>
        <v>0.52771328494278325</v>
      </c>
      <c r="H31" s="7">
        <f t="shared" si="0"/>
        <v>0.75142910478434699</v>
      </c>
      <c r="I31" s="7">
        <f t="shared" si="0"/>
        <v>0.52538853382863726</v>
      </c>
      <c r="J31" s="7">
        <f t="shared" si="0"/>
        <v>0.32872483693615179</v>
      </c>
      <c r="K31" s="7">
        <f t="shared" si="0"/>
        <v>0.32248817370481442</v>
      </c>
      <c r="L31" s="7">
        <f t="shared" si="0"/>
        <v>0.60891819852794105</v>
      </c>
      <c r="M31" s="7">
        <f t="shared" si="0"/>
        <v>0.51227602163735364</v>
      </c>
      <c r="N31" s="7">
        <f t="shared" si="0"/>
        <v>0.67563173724132097</v>
      </c>
      <c r="O31" s="7">
        <f t="shared" si="0"/>
        <v>0.63528538556637981</v>
      </c>
      <c r="P31" s="7">
        <f t="shared" si="0"/>
        <v>0.70967053836881544</v>
      </c>
      <c r="Q31" s="7">
        <f t="shared" si="0"/>
        <v>0.53225538687769347</v>
      </c>
      <c r="R31" s="7">
        <f t="shared" si="0"/>
        <v>0.66726193175657378</v>
      </c>
      <c r="S31" s="7">
        <f t="shared" si="0"/>
        <v>0.69238472187180566</v>
      </c>
      <c r="T31" s="7">
        <f t="shared" si="0"/>
        <v>0.67151997297118859</v>
      </c>
      <c r="U31" s="7">
        <f t="shared" si="0"/>
        <v>0.58260754320733577</v>
      </c>
      <c r="V31" s="7">
        <f t="shared" si="0"/>
        <v>0.58260754320733577</v>
      </c>
      <c r="W31" s="7">
        <f t="shared" si="0"/>
        <v>0.71027193063840821</v>
      </c>
      <c r="X31" s="7">
        <f t="shared" si="0"/>
        <v>0.65422152598212246</v>
      </c>
      <c r="Y31" s="7">
        <f t="shared" si="0"/>
        <v>0.618337423138689</v>
      </c>
      <c r="Z31" s="7">
        <f t="shared" si="0"/>
        <v>0.77857772376881973</v>
      </c>
      <c r="AA31" s="7">
        <f t="shared" si="0"/>
        <v>0.7240348448956716</v>
      </c>
      <c r="AB31" s="7">
        <f t="shared" si="0"/>
        <v>0.59613394987701607</v>
      </c>
      <c r="AC31" s="7">
        <f t="shared" si="0"/>
        <v>0.55910185175854532</v>
      </c>
      <c r="AD31" s="7">
        <f t="shared" si="0"/>
        <v>0.67548161624126835</v>
      </c>
      <c r="AE31" s="7">
        <f t="shared" si="0"/>
        <v>0.69517096491302766</v>
      </c>
      <c r="AF31" s="7">
        <f t="shared" si="0"/>
        <v>0.71355462757759069</v>
      </c>
      <c r="AG31" s="7">
        <f t="shared" si="0"/>
        <v>0.67778613892199246</v>
      </c>
      <c r="AH31" s="7">
        <f t="shared" si="0"/>
        <v>0.66129116989775871</v>
      </c>
      <c r="AI31" s="7">
        <f t="shared" si="0"/>
        <v>0.65598989271000097</v>
      </c>
      <c r="AJ31" s="7">
        <f t="shared" si="0"/>
        <v>0.67425103762035843</v>
      </c>
    </row>
    <row r="33" spans="2:22" x14ac:dyDescent="0.3">
      <c r="B33" s="36" t="s">
        <v>59</v>
      </c>
      <c r="C33" s="36" t="s">
        <v>91</v>
      </c>
    </row>
    <row r="34" spans="2:22" x14ac:dyDescent="0.3">
      <c r="B34" s="5" t="s">
        <v>3</v>
      </c>
      <c r="C34" s="5">
        <v>0.43987122925194438</v>
      </c>
    </row>
    <row r="35" spans="2:22" x14ac:dyDescent="0.3">
      <c r="B35" s="33" t="s">
        <v>4</v>
      </c>
      <c r="C35" s="5">
        <v>0.79268302343034813</v>
      </c>
    </row>
    <row r="36" spans="2:22" x14ac:dyDescent="0.3">
      <c r="B36" s="40" t="s">
        <v>5</v>
      </c>
      <c r="C36" s="5">
        <v>-8.3046580737129894E-2</v>
      </c>
    </row>
    <row r="37" spans="2:22" x14ac:dyDescent="0.3">
      <c r="B37" s="5" t="s">
        <v>6</v>
      </c>
      <c r="C37" s="5">
        <v>0.52771328494278325</v>
      </c>
    </row>
    <row r="38" spans="2:22" x14ac:dyDescent="0.3">
      <c r="B38" s="33" t="s">
        <v>7</v>
      </c>
      <c r="C38" s="5">
        <v>0.75142910478434699</v>
      </c>
    </row>
    <row r="39" spans="2:22" x14ac:dyDescent="0.3">
      <c r="B39" s="5" t="s">
        <v>8</v>
      </c>
      <c r="C39" s="5">
        <v>0.52538853382863726</v>
      </c>
    </row>
    <row r="40" spans="2:22" x14ac:dyDescent="0.3">
      <c r="B40" s="5" t="s">
        <v>9</v>
      </c>
      <c r="C40" s="5">
        <v>0.32872483693615179</v>
      </c>
    </row>
    <row r="41" spans="2:22" x14ac:dyDescent="0.3">
      <c r="B41" s="5" t="s">
        <v>10</v>
      </c>
      <c r="C41" s="5">
        <v>0.32248817370481442</v>
      </c>
    </row>
    <row r="42" spans="2:22" x14ac:dyDescent="0.3">
      <c r="B42" s="5" t="s">
        <v>11</v>
      </c>
      <c r="C42" s="5">
        <v>0.60891819852794105</v>
      </c>
    </row>
    <row r="43" spans="2:22" x14ac:dyDescent="0.3">
      <c r="B43" s="5" t="s">
        <v>12</v>
      </c>
      <c r="C43" s="5">
        <v>0.51227602163735364</v>
      </c>
      <c r="V43" s="1"/>
    </row>
    <row r="44" spans="2:22" x14ac:dyDescent="0.3">
      <c r="B44" s="5" t="s">
        <v>13</v>
      </c>
      <c r="C44" s="5">
        <v>0.67563173724132097</v>
      </c>
      <c r="V44" s="1"/>
    </row>
    <row r="45" spans="2:22" x14ac:dyDescent="0.3">
      <c r="B45" s="5" t="s">
        <v>14</v>
      </c>
      <c r="C45" s="5">
        <v>0.63528538556637981</v>
      </c>
      <c r="V45" s="1"/>
    </row>
    <row r="46" spans="2:22" x14ac:dyDescent="0.3">
      <c r="B46" s="39" t="s">
        <v>15</v>
      </c>
      <c r="C46" s="5">
        <v>0.70967053836881544</v>
      </c>
      <c r="V46" s="1"/>
    </row>
    <row r="47" spans="2:22" x14ac:dyDescent="0.3">
      <c r="B47" s="5" t="s">
        <v>16</v>
      </c>
      <c r="C47" s="5">
        <v>0.53225538687769347</v>
      </c>
      <c r="V47" s="1"/>
    </row>
    <row r="48" spans="2:22" x14ac:dyDescent="0.3">
      <c r="B48" s="5" t="s">
        <v>17</v>
      </c>
      <c r="C48" s="5">
        <v>0.66726193175657378</v>
      </c>
      <c r="V48" s="1"/>
    </row>
    <row r="49" spans="2:22" x14ac:dyDescent="0.3">
      <c r="B49" s="5" t="s">
        <v>18</v>
      </c>
      <c r="C49" s="5">
        <v>0.69238472187180566</v>
      </c>
      <c r="V49" s="1"/>
    </row>
    <row r="50" spans="2:22" x14ac:dyDescent="0.3">
      <c r="B50" s="5" t="s">
        <v>19</v>
      </c>
      <c r="C50" s="5">
        <v>0.67151997297118859</v>
      </c>
      <c r="V50" s="1"/>
    </row>
    <row r="51" spans="2:22" x14ac:dyDescent="0.3">
      <c r="B51" s="5" t="s">
        <v>20</v>
      </c>
      <c r="C51" s="5">
        <v>0.58260754320733577</v>
      </c>
      <c r="V51" s="1"/>
    </row>
    <row r="52" spans="2:22" x14ac:dyDescent="0.3">
      <c r="B52" s="5" t="s">
        <v>46</v>
      </c>
      <c r="C52" s="5">
        <v>0.58260754320733577</v>
      </c>
      <c r="V52" s="1"/>
    </row>
    <row r="53" spans="2:22" x14ac:dyDescent="0.3">
      <c r="B53" s="33" t="s">
        <v>21</v>
      </c>
      <c r="C53" s="5">
        <v>0.71027193063840821</v>
      </c>
      <c r="V53" s="1"/>
    </row>
    <row r="54" spans="2:22" x14ac:dyDescent="0.3">
      <c r="B54" s="5" t="s">
        <v>22</v>
      </c>
      <c r="C54" s="5">
        <v>0.65422152598212246</v>
      </c>
      <c r="V54" s="1"/>
    </row>
    <row r="55" spans="2:22" x14ac:dyDescent="0.3">
      <c r="B55" s="5" t="s">
        <v>23</v>
      </c>
      <c r="C55" s="5">
        <v>0.618337423138689</v>
      </c>
      <c r="V55" s="1"/>
    </row>
    <row r="56" spans="2:22" x14ac:dyDescent="0.3">
      <c r="B56" s="33" t="s">
        <v>24</v>
      </c>
      <c r="C56" s="5">
        <v>0.77857772376881973</v>
      </c>
      <c r="V56" s="1"/>
    </row>
    <row r="57" spans="2:22" x14ac:dyDescent="0.3">
      <c r="B57" s="5" t="s">
        <v>25</v>
      </c>
      <c r="C57" s="5">
        <v>0.7240348448956716</v>
      </c>
      <c r="V57" s="1"/>
    </row>
    <row r="58" spans="2:22" x14ac:dyDescent="0.3">
      <c r="B58" s="5" t="s">
        <v>26</v>
      </c>
      <c r="C58" s="5">
        <v>0.59613394987701607</v>
      </c>
      <c r="V58" s="1"/>
    </row>
    <row r="59" spans="2:22" x14ac:dyDescent="0.3">
      <c r="B59" s="5" t="s">
        <v>27</v>
      </c>
      <c r="C59" s="5">
        <v>0.55910185175854532</v>
      </c>
      <c r="V59" s="1"/>
    </row>
    <row r="60" spans="2:22" x14ac:dyDescent="0.3">
      <c r="B60" s="5" t="s">
        <v>28</v>
      </c>
      <c r="C60" s="5">
        <v>0.67548161624126835</v>
      </c>
      <c r="V60" s="1"/>
    </row>
    <row r="61" spans="2:22" x14ac:dyDescent="0.3">
      <c r="B61" s="5" t="s">
        <v>29</v>
      </c>
      <c r="C61" s="5">
        <v>0.69517096491302766</v>
      </c>
      <c r="V61" s="1"/>
    </row>
    <row r="62" spans="2:22" x14ac:dyDescent="0.3">
      <c r="B62" s="33" t="s">
        <v>47</v>
      </c>
      <c r="C62" s="5">
        <v>0.71355462757759069</v>
      </c>
      <c r="V62" s="1"/>
    </row>
    <row r="63" spans="2:22" x14ac:dyDescent="0.3">
      <c r="B63" s="5" t="s">
        <v>48</v>
      </c>
      <c r="C63" s="5">
        <v>0.67778613892199246</v>
      </c>
      <c r="V63" s="1"/>
    </row>
    <row r="64" spans="2:22" x14ac:dyDescent="0.3">
      <c r="B64" s="5" t="s">
        <v>51</v>
      </c>
      <c r="C64" s="5">
        <v>0.66129116989775871</v>
      </c>
      <c r="V64" s="1"/>
    </row>
    <row r="65" spans="2:22" x14ac:dyDescent="0.3">
      <c r="B65" s="5" t="s">
        <v>72</v>
      </c>
      <c r="C65" s="5">
        <v>0.65598989271000097</v>
      </c>
      <c r="V65" s="1"/>
    </row>
    <row r="66" spans="2:22" x14ac:dyDescent="0.3">
      <c r="B66" s="5" t="s">
        <v>73</v>
      </c>
      <c r="C66" s="5">
        <v>0.67425103762035843</v>
      </c>
      <c r="V66" s="1"/>
    </row>
    <row r="67" spans="2:22" x14ac:dyDescent="0.3">
      <c r="V67" s="1"/>
    </row>
    <row r="68" spans="2:22" x14ac:dyDescent="0.3">
      <c r="V68" s="1"/>
    </row>
    <row r="69" spans="2:22" x14ac:dyDescent="0.3">
      <c r="V69" s="1"/>
    </row>
    <row r="70" spans="2:22" x14ac:dyDescent="0.3">
      <c r="V70" s="1"/>
    </row>
    <row r="71" spans="2:22" x14ac:dyDescent="0.3">
      <c r="V71" s="1"/>
    </row>
    <row r="72" spans="2:22" x14ac:dyDescent="0.3">
      <c r="V72" s="1"/>
    </row>
    <row r="73" spans="2:22" x14ac:dyDescent="0.3">
      <c r="V73" s="1"/>
    </row>
    <row r="74" spans="2:22" x14ac:dyDescent="0.3">
      <c r="V74" s="1"/>
    </row>
    <row r="75" spans="2:22" x14ac:dyDescent="0.3">
      <c r="V75" s="1"/>
    </row>
    <row r="76" spans="2:22" x14ac:dyDescent="0.3">
      <c r="V76" s="1"/>
    </row>
    <row r="77" spans="2:22" x14ac:dyDescent="0.3">
      <c r="V77" s="1"/>
    </row>
    <row r="78" spans="2:22" x14ac:dyDescent="0.3">
      <c r="V78" s="1"/>
    </row>
    <row r="79" spans="2:22" x14ac:dyDescent="0.3">
      <c r="V79" s="1"/>
    </row>
    <row r="80" spans="2:22" x14ac:dyDescent="0.3">
      <c r="V80" s="1"/>
    </row>
    <row r="81" spans="22:22" x14ac:dyDescent="0.3">
      <c r="V81" s="1"/>
    </row>
    <row r="82" spans="22:22" x14ac:dyDescent="0.3">
      <c r="V82" s="1"/>
    </row>
    <row r="83" spans="22:22" x14ac:dyDescent="0.3">
      <c r="V83" s="1"/>
    </row>
    <row r="84" spans="22:22" x14ac:dyDescent="0.3">
      <c r="V84" s="1"/>
    </row>
    <row r="85" spans="22:22" x14ac:dyDescent="0.3">
      <c r="V85" s="1"/>
    </row>
    <row r="86" spans="22:22" x14ac:dyDescent="0.3">
      <c r="V86" s="1"/>
    </row>
    <row r="87" spans="22:22" x14ac:dyDescent="0.3">
      <c r="V87" s="1"/>
    </row>
    <row r="88" spans="22:22" x14ac:dyDescent="0.3">
      <c r="V88" s="1"/>
    </row>
    <row r="89" spans="22:22" x14ac:dyDescent="0.3">
      <c r="V89" s="1"/>
    </row>
    <row r="90" spans="22:22" x14ac:dyDescent="0.3">
      <c r="V90" s="1"/>
    </row>
    <row r="91" spans="22:22" x14ac:dyDescent="0.3">
      <c r="V91" s="1"/>
    </row>
    <row r="92" spans="22:22" x14ac:dyDescent="0.3">
      <c r="V92" s="1"/>
    </row>
    <row r="93" spans="22:22" x14ac:dyDescent="0.3">
      <c r="V93" s="1"/>
    </row>
    <row r="94" spans="22:22" x14ac:dyDescent="0.3">
      <c r="V94" s="1"/>
    </row>
    <row r="95" spans="22:22" x14ac:dyDescent="0.3">
      <c r="V95" s="1"/>
    </row>
    <row r="96" spans="22:22" x14ac:dyDescent="0.3">
      <c r="V96" s="1"/>
    </row>
    <row r="97" spans="22:22" x14ac:dyDescent="0.3">
      <c r="V97" s="1"/>
    </row>
    <row r="98" spans="22:22" x14ac:dyDescent="0.3">
      <c r="V98" s="1"/>
    </row>
    <row r="99" spans="22:22" x14ac:dyDescent="0.3">
      <c r="V99" s="1"/>
    </row>
    <row r="100" spans="22:22" x14ac:dyDescent="0.3">
      <c r="V100" s="1"/>
    </row>
    <row r="101" spans="22:22" x14ac:dyDescent="0.3">
      <c r="V101" s="1"/>
    </row>
    <row r="102" spans="22:22" x14ac:dyDescent="0.3">
      <c r="V102" s="1"/>
    </row>
    <row r="103" spans="22:22" x14ac:dyDescent="0.3">
      <c r="V103" s="1"/>
    </row>
    <row r="104" spans="22:22" x14ac:dyDescent="0.3">
      <c r="V104" s="1"/>
    </row>
    <row r="105" spans="22:22" x14ac:dyDescent="0.3">
      <c r="V105" s="1"/>
    </row>
    <row r="106" spans="22:22" x14ac:dyDescent="0.3">
      <c r="V106" s="1"/>
    </row>
    <row r="107" spans="22:22" x14ac:dyDescent="0.3">
      <c r="V107" s="1"/>
    </row>
    <row r="108" spans="22:22" x14ac:dyDescent="0.3">
      <c r="V108" s="1"/>
    </row>
    <row r="109" spans="22:22" x14ac:dyDescent="0.3">
      <c r="V109" s="1"/>
    </row>
  </sheetData>
  <conditionalFormatting sqref="C34:C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Cleaned Data</vt:lpstr>
      <vt:lpstr>Q1</vt:lpstr>
      <vt:lpstr>Q2</vt:lpstr>
      <vt:lpstr>Q3</vt:lpstr>
      <vt:lpstr>Q4</vt:lpstr>
      <vt:lpstr>Q5</vt:lpstr>
      <vt:lpstr>Crude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Dasgupta</cp:lastModifiedBy>
  <dcterms:created xsi:type="dcterms:W3CDTF">2025-08-21T06:01:10Z</dcterms:created>
  <dcterms:modified xsi:type="dcterms:W3CDTF">2026-04-23T16:03:04Z</dcterms:modified>
</cp:coreProperties>
</file>